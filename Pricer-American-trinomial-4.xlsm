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i/Desktop/Pricer Trinomial American/"/>
    </mc:Choice>
  </mc:AlternateContent>
  <bookViews>
    <workbookView xWindow="0" yWindow="460" windowWidth="28800" windowHeight="16260" activeTab="3"/>
  </bookViews>
  <sheets>
    <sheet name="Pricer" sheetId="3" r:id="rId1"/>
    <sheet name="List Params" sheetId="5" state="hidden" r:id="rId2"/>
    <sheet name="tester" sheetId="4" r:id="rId3"/>
    <sheet name="Analysis" sheetId="6" r:id="rId4"/>
  </sheets>
  <definedNames>
    <definedName name="Alpha">Pricer!$B$12</definedName>
    <definedName name="Delta_t">Pricer!$B$8</definedName>
    <definedName name="Div_amt">Pricer!$B$10</definedName>
    <definedName name="Div_date">Pricer!$B$9</definedName>
    <definedName name="Div_step">Pricer!$B$11</definedName>
    <definedName name="Epsilon">Pricer!$B$14</definedName>
    <definedName name="Interest_rate">Pricer!$B$5</definedName>
    <definedName name="Maturity_date">Pricer!$B$2</definedName>
    <definedName name="Mult_st_dev">Pricer!$B$13</definedName>
    <definedName name="Nb_steps">Pricer!$B$7</definedName>
    <definedName name="Option_price">Pricer!$B$19</definedName>
    <definedName name="Option_type">Pricer!$B$16</definedName>
    <definedName name="Option_types">'List Params'!$A$1:$A$2</definedName>
    <definedName name="Pricing_date">Pricer!$B$1</definedName>
    <definedName name="Prunning">Pricer!$B$18</definedName>
    <definedName name="Stock_price">Pricer!$B$3</definedName>
    <definedName name="Strike">Pricer!$B$4</definedName>
    <definedName name="Tree">Pricer!$B$22</definedName>
    <definedName name="True_False">'List Params'!$B$1:$B$2</definedName>
    <definedName name="Type">Pricer!$B$17</definedName>
    <definedName name="Volatility">Pricer!$B$6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6" l="1"/>
  <c r="M12" i="6"/>
  <c r="M13" i="6"/>
  <c r="M14" i="6"/>
  <c r="M15" i="6"/>
  <c r="M16" i="6"/>
  <c r="M17" i="6"/>
  <c r="M18" i="6"/>
  <c r="M19" i="6"/>
  <c r="M20" i="6"/>
  <c r="L12" i="6"/>
  <c r="L13" i="6"/>
  <c r="L14" i="6"/>
  <c r="L15" i="6"/>
  <c r="L16" i="6"/>
  <c r="L17" i="6"/>
  <c r="L18" i="6"/>
  <c r="L19" i="6"/>
  <c r="L20" i="6"/>
  <c r="L10" i="6"/>
  <c r="L9" i="6"/>
  <c r="L8" i="6"/>
  <c r="L7" i="6"/>
  <c r="L6" i="6"/>
  <c r="L5" i="6"/>
  <c r="L4" i="6"/>
  <c r="L3" i="6"/>
  <c r="L2" i="6"/>
  <c r="K10" i="6"/>
  <c r="K9" i="6"/>
  <c r="K8" i="6"/>
  <c r="K7" i="6"/>
  <c r="K6" i="6"/>
  <c r="K5" i="6"/>
  <c r="K4" i="6"/>
  <c r="K3" i="6"/>
  <c r="K2" i="6"/>
  <c r="K12" i="6"/>
  <c r="K13" i="6"/>
  <c r="K14" i="6"/>
  <c r="K15" i="6"/>
  <c r="K16" i="6"/>
  <c r="K17" i="6"/>
  <c r="K18" i="6"/>
  <c r="K19" i="6"/>
  <c r="K20" i="6"/>
  <c r="J12" i="6"/>
  <c r="J13" i="6"/>
  <c r="J14" i="6"/>
  <c r="J15" i="6"/>
  <c r="J16" i="6"/>
  <c r="J17" i="6"/>
  <c r="J18" i="6"/>
  <c r="J19" i="6"/>
  <c r="J20" i="6"/>
  <c r="J10" i="6"/>
  <c r="J9" i="6"/>
  <c r="J8" i="6"/>
  <c r="J7" i="6"/>
  <c r="J6" i="6"/>
  <c r="J5" i="6"/>
  <c r="J4" i="6"/>
  <c r="J3" i="6"/>
  <c r="J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B20" i="3"/>
  <c r="B14" i="3"/>
  <c r="B13" i="3"/>
  <c r="B8" i="3"/>
  <c r="B12" i="3"/>
  <c r="B11" i="3"/>
</calcChain>
</file>

<file path=xl/sharedStrings.xml><?xml version="1.0" encoding="utf-8"?>
<sst xmlns="http://schemas.openxmlformats.org/spreadsheetml/2006/main" count="2585" uniqueCount="2579">
  <si>
    <t>Pricing Date</t>
  </si>
  <si>
    <t>Maturity Date</t>
  </si>
  <si>
    <t>Stock Price</t>
  </si>
  <si>
    <t>Interest Rate</t>
  </si>
  <si>
    <t>Volatility</t>
  </si>
  <si>
    <t>Nb. of Steps</t>
  </si>
  <si>
    <t>Dividend Date</t>
  </si>
  <si>
    <t>Dividend Amount</t>
  </si>
  <si>
    <t>Delta T</t>
  </si>
  <si>
    <t>Alpha</t>
  </si>
  <si>
    <t>Mult. Std Dev.</t>
  </si>
  <si>
    <t>Steps</t>
  </si>
  <si>
    <t>Call/Put</t>
  </si>
  <si>
    <t>Strike</t>
  </si>
  <si>
    <t>Dividend Step</t>
  </si>
  <si>
    <t>Pruning</t>
  </si>
  <si>
    <t>American Option</t>
  </si>
  <si>
    <t>Prunning Epsilon</t>
  </si>
  <si>
    <t>Put</t>
  </si>
  <si>
    <t>Call</t>
  </si>
  <si>
    <t>Option Price</t>
  </si>
  <si>
    <t>Generate tree</t>
  </si>
  <si>
    <t>Gap</t>
  </si>
  <si>
    <t>Time with Pruning</t>
  </si>
  <si>
    <t>100  1  11,82</t>
  </si>
  <si>
    <t>104,63  0,16054903720293  15,28</t>
  </si>
  <si>
    <t>100,03  0,671517644014681  11,76</t>
  </si>
  <si>
    <t>95,63  0,167933318782389  8,78</t>
  </si>
  <si>
    <t>109,48  0,0257759933467839  19,26</t>
  </si>
  <si>
    <t>104,67  0,215623022422657  15,23</t>
  </si>
  <si>
    <t>100,07  0,504859011512688  11,7</t>
  </si>
  <si>
    <t>95,67  0,225540373160598  8,71</t>
  </si>
  <si>
    <t>91,46  0,0282015995572728  6,26</t>
  </si>
  <si>
    <t>114,56  0,00413831091477533  23,74</t>
  </si>
  <si>
    <t>109,52  0,0519271029731229  19,22</t>
  </si>
  <si>
    <t>104,7  0,230177940341792  15,18</t>
  </si>
  <si>
    <t>100,1  0,411442313493243  11,64</t>
  </si>
  <si>
    <t>95,7  0,240764728992014  8,64</t>
  </si>
  <si>
    <t>91,49  0,0568136150764289  6,19</t>
  </si>
  <si>
    <t>87,47  0,00473598820862469  4,26</t>
  </si>
  <si>
    <t>119,87  0,000664401833013644  28,65</t>
  </si>
  <si>
    <t>114,59  0,0111157951827626  23,71</t>
  </si>
  <si>
    <t>109,56  0,07251977284232  19,18</t>
  </si>
  <si>
    <t>104,74  0,229345506235382  15,13</t>
  </si>
  <si>
    <t>100,13  0,353599863869129  11,58</t>
  </si>
  <si>
    <t>95,73  0,239894007967502  8,58</t>
  </si>
  <si>
    <t>91,52  0,0793441232765573  6,12</t>
  </si>
  <si>
    <t>87,5  0,0127211985757452  4,2</t>
  </si>
  <si>
    <t>83,65  0,00079533021758857  2,76</t>
  </si>
  <si>
    <t>125,42  0,000106669074606191  33,96</t>
  </si>
  <si>
    <t>119,91  0,0022307877679221  28,64</t>
  </si>
  <si>
    <t>114,63  0,0192190075053097  23,68</t>
  </si>
  <si>
    <t>109,59  0,0873862195924022  19,15</t>
  </si>
  <si>
    <t>104,77  0,222958157842602  15,08</t>
  </si>
  <si>
    <t>100,17  0,314478051529146  11,52</t>
  </si>
  <si>
    <t>95,76  0,23321288030389  8,51</t>
  </si>
  <si>
    <t>91,55  0,0956095518264769  6,05</t>
  </si>
  <si>
    <t>87,53  0,0219947207450339  4,13</t>
  </si>
  <si>
    <t>83,68  0,00267039136964393  2,7</t>
  </si>
  <si>
    <t>80  0,000133562442967573  1,68</t>
  </si>
  <si>
    <t>131,23  1,71256172273536E-05  39,63</t>
  </si>
  <si>
    <t>125,46  0,000429780994012676  33,96</t>
  </si>
  <si>
    <t>119,94  0,00460151978889535  28,62</t>
  </si>
  <si>
    <t>114,67  0,0273102996539945  23,66</t>
  </si>
  <si>
    <t>109,63  0,0977046175922897  19,11</t>
  </si>
  <si>
    <t>104,81  0,214884543134752  15,02</t>
  </si>
  <si>
    <t>100,2  0,286061767049421  11,46</t>
  </si>
  <si>
    <t>95,79  0,224767928306194  8,44</t>
  </si>
  <si>
    <t>91,58  0,106898945199215  5,98</t>
  </si>
  <si>
    <t>87,55  0,0312546011643313  4,07</t>
  </si>
  <si>
    <t>83,7  0,00550830469317182  2,64</t>
  </si>
  <si>
    <t>80,02  0,000538137222182611  1,63</t>
  </si>
  <si>
    <t>76,51  2,24295843122221E-05  0,96</t>
  </si>
  <si>
    <t>137,31  2,74950135735842E-06  45,62</t>
  </si>
  <si>
    <t>131,28  8,05010789296618E-05  39,63</t>
  </si>
  <si>
    <t>125,5  0,00103025105405611  33,96</t>
  </si>
  <si>
    <t>119,98  0,00754681859137362  28,61</t>
  </si>
  <si>
    <t>114,71  0,0347984788552989  23,63</t>
  </si>
  <si>
    <t>109,66  0,104696190382846  19,07</t>
  </si>
  <si>
    <t>104,84  0,206633564113994  14,97</t>
  </si>
  <si>
    <t>100,23  0,264268072819042  11,39</t>
  </si>
  <si>
    <t>95,83  0,216137454313327  8,37</t>
  </si>
  <si>
    <t>91,61  0,114548448109232  5,91</t>
  </si>
  <si>
    <t>87,58  0,03982426379524  4</t>
  </si>
  <si>
    <t>83,73  0,00903401010372376  2,58</t>
  </si>
  <si>
    <t>80,05  0,00128999757575177  1,59</t>
  </si>
  <si>
    <t>76,53  0,000105433031295042  0,92</t>
  </si>
  <si>
    <t>73,17  3,76667453246087E-06  0,51</t>
  </si>
  <si>
    <t>143,68  4,41429795712026E-07  51,93</t>
  </si>
  <si>
    <t>137,36  1,4770709389662E-05  45,63</t>
  </si>
  <si>
    <t>131,32  0,000219925442557431  39,64</t>
  </si>
  <si>
    <t>125,55  0,00191698503270399  33,95</t>
  </si>
  <si>
    <t>120,02  0,0108276975953168  28,6</t>
  </si>
  <si>
    <t>114,75  0,0414440273932848  23,61</t>
  </si>
  <si>
    <t>109,7  0,109323982918259  19,03</t>
  </si>
  <si>
    <t>104,88  0,198768047517619  14,92</t>
  </si>
  <si>
    <t>100,27  0,246861994034747  11,33</t>
  </si>
  <si>
    <t>95,86  0,207910171677553  8,3</t>
  </si>
  <si>
    <t>91,64  0,119611731225519  5,84</t>
  </si>
  <si>
    <t>87,61  0,0474295984749857  3,93</t>
  </si>
  <si>
    <t>83,76  0,0129614258368384  2,52</t>
  </si>
  <si>
    <t>80,08  0,00240029460314944  1,54</t>
  </si>
  <si>
    <t>76,56  0,000288038450863534  0,89</t>
  </si>
  <si>
    <t>73,19  2,02351072624666E-05  0,48</t>
  </si>
  <si>
    <t>69,97  6,32550155009282E-07  0,25</t>
  </si>
  <si>
    <t>150,34  7,08711286942645E-08  58,55</t>
  </si>
  <si>
    <t>143,72  2,66785106772922E-06  51,95</t>
  </si>
  <si>
    <t>137,4  4,53017407993905E-05  45,65</t>
  </si>
  <si>
    <t>131,36  0,00045793441062667  39,64</t>
  </si>
  <si>
    <t>125,59  0,0030625985062785  33,95</t>
  </si>
  <si>
    <t>120,06  0,0142467143337132  28,59</t>
  </si>
  <si>
    <t>114,79  0,0472005870262871  23,59</t>
  </si>
  <si>
    <t>109,74  0,112284835163096  18,99</t>
  </si>
  <si>
    <t>104,91  0,191468845712676  14,87</t>
  </si>
  <si>
    <t>100,3  0,232531740406017  11,26</t>
  </si>
  <si>
    <t>95,89  0,200275250877552  8,23</t>
  </si>
  <si>
    <t>91,67  0,122851209457574  5,76</t>
  </si>
  <si>
    <t>87,64  0,0540175516533734  3,86</t>
  </si>
  <si>
    <t>83,79  0,0170542010089872  2,46</t>
  </si>
  <si>
    <t>80,1  0,00383473972974298  1,49</t>
  </si>
  <si>
    <t>76,58  0,000599761067660645  0,85</t>
  </si>
  <si>
    <t>73,21  6,20610398641092E-05  0,46</t>
  </si>
  <si>
    <t>69,99  3,82291730831558E-06  0,23</t>
  </si>
  <si>
    <t>66,92  1,06226246827043E-07  0,11</t>
  </si>
  <si>
    <t>157,3  1,13782914773515E-08  65,48</t>
  </si>
  <si>
    <t>150,39  4,75912133694031E-07  58,57</t>
  </si>
  <si>
    <t>143,77  9,07656155639075E-06  51,96</t>
  </si>
  <si>
    <t>137,45  0,000104389868063402  45,66</t>
  </si>
  <si>
    <t>131,41  0,000806815949738415  39,65</t>
  </si>
  <si>
    <t>125,63  0,00442078764844346  33,95</t>
  </si>
  <si>
    <t>120,1  0,0176592411780648  28,58</t>
  </si>
  <si>
    <t>114,82  0,0521157471937366  23,56</t>
  </si>
  <si>
    <t>109,77  0,114067938028621  18,96</t>
  </si>
  <si>
    <t>104,95  0,184763820234371  14,82</t>
  </si>
  <si>
    <t>100,33  0,220457163884015  11,2</t>
  </si>
  <si>
    <t>95,92  0,193261834909988  8,15</t>
  </si>
  <si>
    <t>91,7  0,124802108199162  5,69</t>
  </si>
  <si>
    <t>87,67  0,0596425858946139  3,79</t>
  </si>
  <si>
    <t>83,82  0,0211392073752913  2,4</t>
  </si>
  <si>
    <t>80,13  0,00553535502531239  1,44</t>
  </si>
  <si>
    <t>76,61  0,00105669454880738  0,82</t>
  </si>
  <si>
    <t>73,24  0,000143008715536566  0,43</t>
  </si>
  <si>
    <t>70,02  1,30063273372613E-05  0,22</t>
  </si>
  <si>
    <t>66,94  7,13327990018152E-07  0,1</t>
  </si>
  <si>
    <t>64  1,78389261714669E-08  0,04</t>
  </si>
  <si>
    <t>164,59  1,82677374170346E-09  72,74</t>
  </si>
  <si>
    <t>157,35  8,40479583435644E-08  65,5</t>
  </si>
  <si>
    <t>150,43  1,77872740801771E-06  58,59</t>
  </si>
  <si>
    <t>143,82  2,29346855474766E-05  51,98</t>
  </si>
  <si>
    <t>137,5  0,000201157419296698  45,67</t>
  </si>
  <si>
    <t>131,45  0,00126907488334932  39,66</t>
  </si>
  <si>
    <t>125,67  0,00593930235533066  33,95</t>
  </si>
  <si>
    <t>120,14  0,0209680226074829  28,57</t>
  </si>
  <si>
    <t>114,86  0,056275716376034  23,54</t>
  </si>
  <si>
    <t>109,81  0,115014256838223  18,92</t>
  </si>
  <si>
    <t>104,98  0,178622158068806  14,76</t>
  </si>
  <si>
    <t>100,37  0,210096878343294  11,13</t>
  </si>
  <si>
    <t>95,95  0,186837693549386  8,08</t>
  </si>
  <si>
    <t>91,73  0,125837478738037  5,61</t>
  </si>
  <si>
    <t>87,7  0,0644033603751632  3,72</t>
  </si>
  <si>
    <t>83,84  0,0251000240429272  2,34</t>
  </si>
  <si>
    <t>80,16  0,00743671710877346  1,39</t>
  </si>
  <si>
    <t>76,63  0,00166211948548876  0,78</t>
  </si>
  <si>
    <t>73,26  0,000275575251582718  0,41</t>
  </si>
  <si>
    <t>70,04  3,2864430627677E-05  0,2</t>
  </si>
  <si>
    <t>66,96  2,66607206860521E-06  0,09</t>
  </si>
  <si>
    <t>64,02  1,31770690418568E-07  0,04</t>
  </si>
  <si>
    <t>61,2  2,9957500754896E-09  0,02</t>
  </si>
  <si>
    <t>172,22  2,93286765418008E-10  80,33</t>
  </si>
  <si>
    <t>164,65  1,47205295901062E-08  72,76</t>
  </si>
  <si>
    <t>157,41  3,42319435951907E-07  65,52</t>
  </si>
  <si>
    <t>150,48  4,89070297415796E-06  58,6</t>
  </si>
  <si>
    <t>143,87  4,79953835962027E-05  51,99</t>
  </si>
  <si>
    <t>137,54  0,000342681004801593  45,68</t>
  </si>
  <si>
    <t>131,49  0,00183953648357077  39,66</t>
  </si>
  <si>
    <t>125,71  0,00756786212336684  33,95</t>
  </si>
  <si>
    <t>120,18  0,0241128159788854  28,56</t>
  </si>
  <si>
    <t>114,9  0,0597767943008316  23,52</t>
  </si>
  <si>
    <t>109,85  0,115362286099058  18,88</t>
  </si>
  <si>
    <t>105,02  0,172993508150661  14,71</t>
  </si>
  <si>
    <t>100,4  0,201076984385064  11,07</t>
  </si>
  <si>
    <t>95,98  0,180950159886874  8</t>
  </si>
  <si>
    <t>91,76  0,126218258703172  5,54</t>
  </si>
  <si>
    <t>87,73  0,0684100829513064  3,65</t>
  </si>
  <si>
    <t>83,87  0,0288645368303227  2,28</t>
  </si>
  <si>
    <t>80,18  0,00947586877424513  1,34</t>
  </si>
  <si>
    <t>76,66  0,00240925848720689  0,74</t>
  </si>
  <si>
    <t>73,29  0,000469455237798041  0,39</t>
  </si>
  <si>
    <t>70,06  6,87753469032961E-05  0,19</t>
  </si>
  <si>
    <t>66,98  7,33050299696113E-06  0,09</t>
  </si>
  <si>
    <t>64,04  5,366896389642E-07  0,04</t>
  </si>
  <si>
    <t>61,22  2,41403883929935E-08  0,01</t>
  </si>
  <si>
    <t>58,53  5,03086252419548E-10  0,01</t>
  </si>
  <si>
    <t>180,2  4,70869078122347E-11  88,28</t>
  </si>
  <si>
    <t>172,28  2,56031409054275E-09  80,36</t>
  </si>
  <si>
    <t>164,7  6,48934038267805E-08  72,79</t>
  </si>
  <si>
    <t>157,46  1,01754326226593E-06  65,54</t>
  </si>
  <si>
    <t>150,53  1,10472928043021E-05  58,62</t>
  </si>
  <si>
    <t>143,92  8,80681642863424E-05  52,01</t>
  </si>
  <si>
    <t>137,59  0,000533512176383568  45,69</t>
  </si>
  <si>
    <t>131,54  0,00250784174153743  39,67</t>
  </si>
  <si>
    <t>125,75  0,00926216179968049  33,95</t>
  </si>
  <si>
    <t>120,22  0,0270601843512419  28,55</t>
  </si>
  <si>
    <t>114,94  0,0627118212508968  23,49</t>
  </si>
  <si>
    <t>109,88  0,115280267198456  18,84</t>
  </si>
  <si>
    <t>105,05  0,167824080836778  14,66</t>
  </si>
  <si>
    <t>100,43  0,193129490722948  11</t>
  </si>
  <si>
    <t>96,02  0,17554297028207  7,93</t>
  </si>
  <si>
    <t>91,79  0,126128521552805  5,46</t>
  </si>
  <si>
    <t>87,76  0,0717690024026886  3,57</t>
  </si>
  <si>
    <t>83,9  0,0323927196444262  2,21</t>
  </si>
  <si>
    <t>80,21  0,0115973346698004  1,29</t>
  </si>
  <si>
    <t>76,68  0,00328454426119568  0,71</t>
  </si>
  <si>
    <t>73,31  0,000730884064546315  0,36</t>
  </si>
  <si>
    <t>70,09  0,000126197940220373  0,17</t>
  </si>
  <si>
    <t>67,01  1,65583993626525E-05  0,08</t>
  </si>
  <si>
    <t>64,06  1,59530797466236E-06  0,03</t>
  </si>
  <si>
    <t>61,24  1,06419538980082E-07  0,01</t>
  </si>
  <si>
    <t>58,55  4,39180683449288E-09  0</t>
  </si>
  <si>
    <t>55,98  8,44849440026043E-11  0</t>
  </si>
  <si>
    <t>188,55  7,55975771411898E-12  96,61</t>
  </si>
  <si>
    <t>180,26  4,42675651571775E-10  88,31</t>
  </si>
  <si>
    <t>172,33  1,2145777051929E-08  80,39</t>
  </si>
  <si>
    <t>164,76  2,07372618761316E-07  72,81</t>
  </si>
  <si>
    <t>157,51  2,46782824226155E-06  65,57</t>
  </si>
  <si>
    <t>150,58  2,17285904381218E-05  58,64</t>
  </si>
  <si>
    <t>143,96  0,00014664940099286  52,02</t>
  </si>
  <si>
    <t>137,63  0,000775683995907088  45,71</t>
  </si>
  <si>
    <t>131,58  0,00326068560758666  39,68</t>
  </si>
  <si>
    <t>125,8  0,0109853418009656  33,95</t>
  </si>
  <si>
    <t>120,26  0,0297951393353455  28,54</t>
  </si>
  <si>
    <t>114,98  0,065164536930439  23,47</t>
  </si>
  <si>
    <t>109,92  0,114888132297856  18,8</t>
  </si>
  <si>
    <t>105,09  0,163062983024271  14,6</t>
  </si>
  <si>
    <t>100,47  0,18605637033307  10,93</t>
  </si>
  <si>
    <t>96,05  0,170562890858145  7,85</t>
  </si>
  <si>
    <t>91,82  0,125699485461353  5,38</t>
  </si>
  <si>
    <t>87,79  0,0745759525755113  3,5</t>
  </si>
  <si>
    <t>83,93  0,035666630453396  2,15</t>
  </si>
  <si>
    <t>80,24  0,0137549621873748  1,24</t>
  </si>
  <si>
    <t>76,71  0,00427055105693942  0,67</t>
  </si>
  <si>
    <t>73,34  0,0010626469213419  0,34</t>
  </si>
  <si>
    <t>70,11  0,000210142365176004  0,16</t>
  </si>
  <si>
    <t>67,03  3,25682214127492E-05  0,07</t>
  </si>
  <si>
    <t>64,08  3,86906996583997E-06  0,03</t>
  </si>
  <si>
    <t>61,26  3,40073061117066E-07  0,01</t>
  </si>
  <si>
    <t>58,57  2,08341261190996E-08  0</t>
  </si>
  <si>
    <t>55,99  7,94263827719091E-10  0</t>
  </si>
  <si>
    <t>53,53  1,41878370335005E-11  0</t>
  </si>
  <si>
    <t>197,29  1,21371182248897E-12  105,31</t>
  </si>
  <si>
    <t>188,61  7,61476603425627E-11  96,64</t>
  </si>
  <si>
    <t>180,32  2,24852685757664E-09  88,34</t>
  </si>
  <si>
    <t>172,39  4,15239178663411E-08  80,41</t>
  </si>
  <si>
    <t>164,81  5,37501501310541E-07  72,83</t>
  </si>
  <si>
    <t>157,56  5,180519253787E-06  65,59</t>
  </si>
  <si>
    <t>150,63  3,8549982581466E-05  58,66</t>
  </si>
  <si>
    <t>144,01  0,000226661933272176  52,04</t>
  </si>
  <si>
    <t>137,68  0,00106901274495733  45,72</t>
  </si>
  <si>
    <t>131,62  0,00408355715432826  39,69</t>
  </si>
  <si>
    <t>125,84  0,0127080095340861  33,95</t>
  </si>
  <si>
    <t>120,3  0,032314870340113  28,53</t>
  </si>
  <si>
    <t>115,01  0,0672079119714629  23,45</t>
  </si>
  <si>
    <t>109,96  0,114272309807548  18,77</t>
  </si>
  <si>
    <t>105,12  0,158664386654385  14,55</t>
  </si>
  <si>
    <t>100,5  0,179707551279634  10,86</t>
  </si>
  <si>
    <t>96,08  0,165961985743768  7,77</t>
  </si>
  <si>
    <t>91,86  0,12502571203827  5,3</t>
  </si>
  <si>
    <t>87,82  0,0769144429159871  3,42</t>
  </si>
  <si>
    <t>83,95  0,0386829048053184  2,09</t>
  </si>
  <si>
    <t>80,26  0,0159119482839191  1,19</t>
  </si>
  <si>
    <t>76,73  0,0053482737743603  0,64</t>
  </si>
  <si>
    <t>73,36  0,00146449212346496  0,32</t>
  </si>
  <si>
    <t>70,13  0,000324796926756736  0,15</t>
  </si>
  <si>
    <t>67,05  5,77812155715021E-05  0,06</t>
  </si>
  <si>
    <t>64,1  8,12203665921309E-06  0,02</t>
  </si>
  <si>
    <t>61,28  8,8145571964811E-07  0,01</t>
  </si>
  <si>
    <t>58,59  7,12275993613036E-08  0</t>
  </si>
  <si>
    <t>56,01  4,03438396100353E-09  0</t>
  </si>
  <si>
    <t>53,55  1,42910743476102E-10  0</t>
  </si>
  <si>
    <t>51,19  2,38261055937895E-12  0</t>
  </si>
  <si>
    <t>206,43  1,94860264542445E-13  114,42</t>
  </si>
  <si>
    <t>197,35  1,30404624568076E-11  105,35</t>
  </si>
  <si>
    <t>188,68  4,12337142233821E-10  96,67</t>
  </si>
  <si>
    <t>180,38  8,18933822155745E-09  88,37</t>
  </si>
  <si>
    <t>172,45  1,14556994603947E-07  80,44</t>
  </si>
  <si>
    <t>164,86  1,19964236955732E-06  72,86</t>
  </si>
  <si>
    <t>157,62  9,75823708268575E-06  65,61</t>
  </si>
  <si>
    <t>150,68  6,31473304286175E-05  58,68</t>
  </si>
  <si>
    <t>144,06  0,000330310280893179  52,06</t>
  </si>
  <si>
    <t>137,72  0,00141153618010237  45,73</t>
  </si>
  <si>
    <t>131,67  0,00496196223301779  39,7</t>
  </si>
  <si>
    <t>125,88  0,0144075392482508  33,95</t>
  </si>
  <si>
    <t>120,34  0,0346242693730492  28,52</t>
  </si>
  <si>
    <t>115,05  0,0689043514470205  23,43</t>
  </si>
  <si>
    <t>109,99  0,113495734479623  18,73</t>
  </si>
  <si>
    <t>105,16  0,15458793768216  14,49</t>
  </si>
  <si>
    <t>100,53  0,173966865493825  10,79</t>
  </si>
  <si>
    <t>96,11  0,161698044852656  7,69</t>
  </si>
  <si>
    <t>91,89  0,12417605840402  5,22</t>
  </si>
  <si>
    <t>87,85  0,0788558913760786  3,35</t>
  </si>
  <si>
    <t>83,98  0,0414473987366936  2,02</t>
  </si>
  <si>
    <t>80,29  0,0180399628125732  1,14</t>
  </si>
  <si>
    <t>76,76  0,00649872928852995  0,6</t>
  </si>
  <si>
    <t>73,38  0,00193373149898961  0,3</t>
  </si>
  <si>
    <t>70,16  0,000473320608191499  0,13</t>
  </si>
  <si>
    <t>67,07  9,46493167552102E-05  0,06</t>
  </si>
  <si>
    <t>64,12  1,52989990833295E-05  0,02</t>
  </si>
  <si>
    <t>61,3  1,9673091621147E-06  0,01</t>
  </si>
  <si>
    <t>58,61  1,96504090532831E-07  0</t>
  </si>
  <si>
    <t>56,03  1,46935913444617E-08  0</t>
  </si>
  <si>
    <t>53,57  7,73857099408648E-10  0</t>
  </si>
  <si>
    <t>51,21  2,55994404710405E-11  0</t>
  </si>
  <si>
    <t>48,96  4,00119698602398E-13  0</t>
  </si>
  <si>
    <t>216  3,12846278613987E-14  123,96</t>
  </si>
  <si>
    <t>206,5  2,22448579787914E-12  114,46</t>
  </si>
  <si>
    <t>197,42  7,49899553454279E-11  105,38</t>
  </si>
  <si>
    <t>188,74  1,59387196123207E-09  96,7</t>
  </si>
  <si>
    <t>180,44  2,39605454418549E-08  88,4</t>
  </si>
  <si>
    <t>172,5  2,70903733288272E-07  80,47</t>
  </si>
  <si>
    <t>164,92  2,39149452238256E-06  72,88</t>
  </si>
  <si>
    <t>157,67  1,68925314022217E-05  65,63</t>
  </si>
  <si>
    <t>150,73  9,70742772696309E-05  58,7</t>
  </si>
  <si>
    <t>144,11  0,000459034497082958  52,07</t>
  </si>
  <si>
    <t>137,77  0,00179997981095021  45,74</t>
  </si>
  <si>
    <t>131,71  0,00588220569848227  39,7</t>
  </si>
  <si>
    <t>125,92  0,0160670887091973  33,96</t>
  </si>
  <si>
    <t>120,38  0,0367328409604758  28,51</t>
  </si>
  <si>
    <t>115,09  0,0703066871096395  23,41</t>
  </si>
  <si>
    <t>110,03  0,112604669198574  18,69</t>
  </si>
  <si>
    <t>105,19  0,150798455824463  14,44</t>
  </si>
  <si>
    <t>100,57  0,16874275049041  10,72</t>
  </si>
  <si>
    <t>96,14  0,157734269822215  7,61</t>
  </si>
  <si>
    <t>91,92  0,123201140933429  5,13</t>
  </si>
  <si>
    <t>87,87  0,0804607599563801  3,27</t>
  </si>
  <si>
    <t>84,01  0,043971489755273  1,96</t>
  </si>
  <si>
    <t>80,32  0,0201179172810765  1,09</t>
  </si>
  <si>
    <t>76,79  0,0077039809371207  0,57</t>
  </si>
  <si>
    <t>73,41  0,00246587916558332  0,27</t>
  </si>
  <si>
    <t>70,18  0,000657776944612704  0,12</t>
  </si>
  <si>
    <t>67,09  0,00014550122634972  0,05</t>
  </si>
  <si>
    <t>64,14  2,64841712952666E-05  0,02</t>
  </si>
  <si>
    <t>61,32  3,92184304624655E-06  0,01</t>
  </si>
  <si>
    <t>58,63  4,64691762522307E-07  0</t>
  </si>
  <si>
    <t>56,05  4,29908319314758E-08  0</t>
  </si>
  <si>
    <t>53,59  2,99131222102796E-09  0</t>
  </si>
  <si>
    <t>51,23  1,4721110575258E-10  0</t>
  </si>
  <si>
    <t>48,98  4,56768643460339E-12  0</t>
  </si>
  <si>
    <t>46,82  6,71934288965128E-14  0</t>
  </si>
  <si>
    <t>226,01  5,02271688239897E-15  133,94</t>
  </si>
  <si>
    <t>216,07  3,78147232716502E-13  124</t>
  </si>
  <si>
    <t>206,57  1,35386003241219E-11  114,5</t>
  </si>
  <si>
    <t>197,48  3,06625252221471E-10  105,42</t>
  </si>
  <si>
    <t>188,8  4,92974895789257E-09  96,73</t>
  </si>
  <si>
    <t>180,5  5,98509267867002E-08  88,43</t>
  </si>
  <si>
    <t>172,56  5,69892553692937E-07  80,49</t>
  </si>
  <si>
    <t>164,97  4,36350418289258E-06  72,91</t>
  </si>
  <si>
    <t>157,72  2,7330426253467E-05  65,65</t>
  </si>
  <si>
    <t>150,79  0,000141721455377152  58,72</t>
  </si>
  <si>
    <t>144,15  0,000613536795185735  52,09</t>
  </si>
  <si>
    <t>137,82  0,00223018784997462  45,76</t>
  </si>
  <si>
    <t>131,76  0,00683183711856499  39,71</t>
  </si>
  <si>
    <t>125,96  0,0176745741308138  33,96</t>
  </si>
  <si>
    <t>120,42  0,0386526212742325  28,51</t>
  </si>
  <si>
    <t>115,13  0,0714594200015227  23,39</t>
  </si>
  <si>
    <t>110,07  0,111633404358505  18,66</t>
  </si>
  <si>
    <t>105,23  0,147265385711414  14,39</t>
  </si>
  <si>
    <t>100,6  0,163961904561601  10,65</t>
  </si>
  <si>
    <t>96,18  0,154038699920883  7,53</t>
  </si>
  <si>
    <t>91,95  0,122138476860108  5,05</t>
  </si>
  <si>
    <t>87,9  0,0817799767808482  3,19</t>
  </si>
  <si>
    <t>84,04  0,0462695859055157  1,89</t>
  </si>
  <si>
    <t>80,34  0,0221306813435639  1,04</t>
  </si>
  <si>
    <t>76,81  0,00894772227032247  0,53</t>
  </si>
  <si>
    <t>73,43  0,00305524190945655  0,25</t>
  </si>
  <si>
    <t>70,2  0,000879172177928535  0,11</t>
  </si>
  <si>
    <t>67,12  0,000212421314249528  0,04</t>
  </si>
  <si>
    <t>64,17  4,28487402648376E-05  0,02</t>
  </si>
  <si>
    <t>61,34  7,15576739849637E-06  0,01</t>
  </si>
  <si>
    <t>58,65  9,77558972736996E-07  0</t>
  </si>
  <si>
    <t>56,07  1,07386584361141E-07  0</t>
  </si>
  <si>
    <t>53,6  9,2519466199413E-09  0</t>
  </si>
  <si>
    <t>51,25  6,01929181358624E-10  0</t>
  </si>
  <si>
    <t>48,99  2,77997194241363E-11  0</t>
  </si>
  <si>
    <t>46,84  8,12188315186135E-13  0</t>
  </si>
  <si>
    <t>44,78  1,12840155149637E-14  0</t>
  </si>
  <si>
    <t>236,48  8,06392359612061E-16  144,38</t>
  </si>
  <si>
    <t>226,08  6,40840171410004E-14  133,98</t>
  </si>
  <si>
    <t>216,14  2,4283852674324E-12  124,04</t>
  </si>
  <si>
    <t>206,64  5,83833015389526E-11  114,54</t>
  </si>
  <si>
    <t>197,55  9,99644297893135E-10  105,45</t>
  </si>
  <si>
    <t>188,86  1,29709146733229E-08  96,77</t>
  </si>
  <si>
    <t>180,56  1,32514523255677E-07  88,46</t>
  </si>
  <si>
    <t>172,62  1,09330026515948E-06  80,52</t>
  </si>
  <si>
    <t>165,03  7,41374761777502E-06  72,93</t>
  </si>
  <si>
    <t>157,77  4,18388843984025E-05  65,67</t>
  </si>
  <si>
    <t>150,84  0,0001982608887613  58,74</t>
  </si>
  <si>
    <t>144,2  0,000793855049658808  52,11</t>
  </si>
  <si>
    <t>137,86  0,00269748863264827  45,77</t>
  </si>
  <si>
    <t>131,8  0,00779985787297971  39,72</t>
  </si>
  <si>
    <t>126  0,0192217225909354  33,96</t>
  </si>
  <si>
    <t>120,46  0,040396808145241  28,5</t>
  </si>
  <si>
    <t>115,17  0,0723999599217496  23,37</t>
  </si>
  <si>
    <t>110,1  0,110607534136558  18,62</t>
  </si>
  <si>
    <t>105,26  0,143962198854069  14,33</t>
  </si>
  <si>
    <t>100,63  0,159564841787937  10,58</t>
  </si>
  <si>
    <t>96,21  0,150583586510197  7,45</t>
  </si>
  <si>
    <t>91,98  0,121016068857916  4,96</t>
  </si>
  <si>
    <t>87,93  0,0828563545745094  3,11</t>
  </si>
  <si>
    <t>84,07  0,0483574858099123  1,82</t>
  </si>
  <si>
    <t>80,37  0,0240678963117311  0,99</t>
  </si>
  <si>
    <t>76,84  0,0102155482901889  0,5</t>
  </si>
  <si>
    <t>73,46  0,00369541979203381  0,23</t>
  </si>
  <si>
    <t>70,23  0,00113756058062818  0,1</t>
  </si>
  <si>
    <t>67,14  0,000297166286098856  0,04</t>
  </si>
  <si>
    <t>64,19  6,55951529599608E-05  0,01</t>
  </si>
  <si>
    <t>61,36  1,21579013747565E-05  0</t>
  </si>
  <si>
    <t>58,67  1,87538067864977E-06  0</t>
  </si>
  <si>
    <t>56,09  2,37762099848258E-07  0</t>
  </si>
  <si>
    <t>53,62  2,43432700517788E-08  0</t>
  </si>
  <si>
    <t>51,26  1,96237938500176E-09  0</t>
  </si>
  <si>
    <t>49,01  1,1988236324152E-10  0</t>
  </si>
  <si>
    <t>46,85  5,21570956585087E-12  0</t>
  </si>
  <si>
    <t>44,79  1,43970894759133E-13  0</t>
  </si>
  <si>
    <t>42,82  1,89496217462043E-15  0</t>
  </si>
  <si>
    <t>247,44  1,29465516943495E-16  155,31</t>
  </si>
  <si>
    <t>236,56  1,08301339495604E-14  144,43</t>
  </si>
  <si>
    <t>226,16  4,33043884998858E-13  134,03</t>
  </si>
  <si>
    <t>216,21  1,1014848246034E-11  124,08</t>
  </si>
  <si>
    <t>206,7  2,00105153468607E-10  114,58</t>
  </si>
  <si>
    <t>197,62  2,76355114780652E-09  105,49</t>
  </si>
  <si>
    <t>188,93  3,01531507707966E-08  96,8</t>
  </si>
  <si>
    <t>180,62  2,66692394148166E-07  88,49</t>
  </si>
  <si>
    <t>172,68  1,94669406403694E-06  80,55</t>
  </si>
  <si>
    <t>165,08  1,18792564833714E-05  72,96</t>
  </si>
  <si>
    <t>157,83  6,11711591270984E-05  65,7</t>
  </si>
  <si>
    <t>150,89  0,000267614491533886  58,76</t>
  </si>
  <si>
    <t>144,25  0,000999461484507899  52,12</t>
  </si>
  <si>
    <t>137,91  0,00319698559630049  45,79</t>
  </si>
  <si>
    <t>131,84  0,00877676945632767  39,73</t>
  </si>
  <si>
    <t>126,05  0,0207032505405971  33,97</t>
  </si>
  <si>
    <t>120,5  0,0419788809577872  28,5</t>
  </si>
  <si>
    <t>115,21  0,0731597536864657  23,35</t>
  </si>
  <si>
    <t>110,14  0,109546268702668  18,59</t>
  </si>
  <si>
    <t>105,3  0,140865828612037  14,28</t>
  </si>
  <si>
    <t>100,67  0,155502706290561  10,51</t>
  </si>
  <si>
    <t>96,24  0,147344802024269  7,36</t>
  </si>
  <si>
    <t>92,01  0,11985493483727  4,88</t>
  </si>
  <si>
    <t>87,96  0,0837258818731684  3,03</t>
  </si>
  <si>
    <t>84,09  0,0502513251278035  1,76</t>
  </si>
  <si>
    <t>80,4  0,0259229465501617  0,94</t>
  </si>
  <si>
    <t>76,86  0,0114950187135577  0,47</t>
  </si>
  <si>
    <t>73,48  0,00437970477592537  0,21</t>
  </si>
  <si>
    <t>70,25  0,00143218587212003  0,09</t>
  </si>
  <si>
    <t>67,16  0,000401117966595518  0,03</t>
  </si>
  <si>
    <t>64,21  9,59043625893877E-05  0,01</t>
  </si>
  <si>
    <t>61,39  1,94809475822908E-05  0</t>
  </si>
  <si>
    <t>58,69  3,3392404184637E-06  0</t>
  </si>
  <si>
    <t>56,11  4,78508635041284E-07  0</t>
  </si>
  <si>
    <t>53,64  5,65901719818543E-08  0</t>
  </si>
  <si>
    <t>51,28  5,42506550908676E-09  0</t>
  </si>
  <si>
    <t>49,02  4,10889382105521E-10  0</t>
  </si>
  <si>
    <t>46,87  2,36577985106902E-11  0</t>
  </si>
  <si>
    <t>44,81  9,72874647606398E-13  0</t>
  </si>
  <si>
    <t>42,84  2,54500106999662E-14  0</t>
  </si>
  <si>
    <t>40,95  3,18227286951128E-16  0</t>
  </si>
  <si>
    <t>258,91  2,07855640962524E-17  166,75</t>
  </si>
  <si>
    <t>247,52  1,82570595729989E-15  155,36</t>
  </si>
  <si>
    <t>236,64  7,68191464112716E-14  144,48</t>
  </si>
  <si>
    <t>226,23  2,06103863058353E-12  134,07</t>
  </si>
  <si>
    <t>216,28  3,9596077168871E-11  124,12</t>
  </si>
  <si>
    <t>206,77  5,79909377275624E-10  114,61</t>
  </si>
  <si>
    <t>197,68  6,73043700330294E-09  105,52</t>
  </si>
  <si>
    <t>188,99  6,35296721909341E-08  96,83</t>
  </si>
  <si>
    <t>180,68  4,9669222458552E-07  88,52</t>
  </si>
  <si>
    <t>172,73  3,25922914143396E-06  80,58</t>
  </si>
  <si>
    <t>165,14  1,81250158236351E-05  72,98</t>
  </si>
  <si>
    <t>157,88  8,60376845818993E-05  65,72</t>
  </si>
  <si>
    <t>150,94  0,000350443107684174  58,78</t>
  </si>
  <si>
    <t>144,3  0,00122937037051528  52,14</t>
  </si>
  <si>
    <t>137,95  0,0037237770056308  45,8</t>
  </si>
  <si>
    <t>131,89  0,00975452288992322  39,74</t>
  </si>
  <si>
    <t>126,09  0,0221161789700858  33,97</t>
  </si>
  <si>
    <t>120,54  0,0434120528283768  28,49</t>
  </si>
  <si>
    <t>115,24  0,0737652661996321  23,34</t>
  </si>
  <si>
    <t>110,18  0,108464085666139  18,55</t>
  </si>
  <si>
    <t>105,33  0,137956167592591  14,22</t>
  </si>
  <si>
    <t>100,7  0,151734943169847  10,43</t>
  </si>
  <si>
    <t>96,27  0,144301314252316  7,28</t>
  </si>
  <si>
    <t>92,04  0,11867091479842  4,79</t>
  </si>
  <si>
    <t>87,99  0,0844188457856418  2,95</t>
  </si>
  <si>
    <t>84,12  0,0519669207794657  1,69</t>
  </si>
  <si>
    <t>80,42  0,0276921019823022  0,89</t>
  </si>
  <si>
    <t>76,89  0,0127755917162272  0,43</t>
  </si>
  <si>
    <t>73,51  0,00510138173750713  0,19</t>
  </si>
  <si>
    <t>70,27  0,00176163554428716  0,08</t>
  </si>
  <si>
    <t>67,18  0,000525266871595825  0,03</t>
  </si>
  <si>
    <t>64,23  0,000134890190348535  0,01</t>
  </si>
  <si>
    <t>61,41  2,97234497531522E-05  0</t>
  </si>
  <si>
    <t>58,71  5,59068313977454E-06  0</t>
  </si>
  <si>
    <t>56,12  8,91182214555375E-07  0</t>
  </si>
  <si>
    <t>53,66  1,19229831156404E-07  0</t>
  </si>
  <si>
    <t>51,3  1,32123704953616E-08  0</t>
  </si>
  <si>
    <t>49,04  1,19076696214831E-09  0</t>
  </si>
  <si>
    <t>46,88  8,50448407958751E-11  0</t>
  </si>
  <si>
    <t>44,82  4,63032108498183E-12  0</t>
  </si>
  <si>
    <t>42,85  1,80519290641696E-13  0</t>
  </si>
  <si>
    <t>40,97  4,48759999788619E-15  0</t>
  </si>
  <si>
    <t>39,17  5,34409644248243E-17  0</t>
  </si>
  <si>
    <t>270,9  3,33710230337257E-18  178,71</t>
  </si>
  <si>
    <t>258,99  3,07073206691658E-16  166,8</t>
  </si>
  <si>
    <t>247,6  1,3562724346952E-14  155,41</t>
  </si>
  <si>
    <t>236,72  3,82789776852022E-13  144,53</t>
  </si>
  <si>
    <t>226,31  7,75403636611173E-12  134,12</t>
  </si>
  <si>
    <t>216,36  1,20039473696586E-10  124,17</t>
  </si>
  <si>
    <t>206,84  1,47663406025548E-09  114,65</t>
  </si>
  <si>
    <t>197,75  1,48166210100357E-08  105,56</t>
  </si>
  <si>
    <t>189,05  1,23535018860887E-07  96,86</t>
  </si>
  <si>
    <t>180,74  8,67472441827273E-07  88,55</t>
  </si>
  <si>
    <t>172,79  5,18199488782006E-06  80,6</t>
  </si>
  <si>
    <t>165,19  2,65318685128035E-05  73</t>
  </si>
  <si>
    <t>157,93  0,000117082920840259  65,74</t>
  </si>
  <si>
    <t>150,99  0,000447151553297506  58,8</t>
  </si>
  <si>
    <t>144,35  0,00148224378196009  52,16</t>
  </si>
  <si>
    <t>138  0,00427311346634212  45,81</t>
  </si>
  <si>
    <t>131,93  0,0107264117007443  39,75</t>
  </si>
  <si>
    <t>126,13  0,0234592770832412  33,98</t>
  </si>
  <si>
    <t>120,58  0,0447089452377525  28,49</t>
  </si>
  <si>
    <t>115,28  0,074238812399915  23,32</t>
  </si>
  <si>
    <t>110,21  0,107371923113694  18,52</t>
  </si>
  <si>
    <t>105,37  0,135215633549643  14,17</t>
  </si>
  <si>
    <t>100,73  0,148227565692775  10,36</t>
  </si>
  <si>
    <t>96,3  0,141434732271584  7,19</t>
  </si>
  <si>
    <t>92,07  0,117475976138213  4,7</t>
  </si>
  <si>
    <t>88,02  0,0849607840950057  2,86</t>
  </si>
  <si>
    <t>84,15  0,0535193814604688  1,62</t>
  </si>
  <si>
    <t>80,45  0,0293738215041034  0,84</t>
  </si>
  <si>
    <t>76,91  0,0140484837664851  0,4</t>
  </si>
  <si>
    <t>73,53  0,00585394425244283  0,17</t>
  </si>
  <si>
    <t>70,3  0,0021239924063771  0,07</t>
  </si>
  <si>
    <t>67,21  0,000670219765718766  0,02</t>
  </si>
  <si>
    <t>64,25  0,000183563023057287  0,01</t>
  </si>
  <si>
    <t>61,43  4,35099570820412E-05  0</t>
  </si>
  <si>
    <t>58,72  8,88887837968233E-06  0</t>
  </si>
  <si>
    <t>56,14  1,55644878962726E-06  0</t>
  </si>
  <si>
    <t>53,67  2,31845355606774E-07  0</t>
  </si>
  <si>
    <t>51,31  2,90861776401517E-08  0</t>
  </si>
  <si>
    <t>49,06  3,03207211857004E-09  0</t>
  </si>
  <si>
    <t>46,9  2,57821952568973E-10  0</t>
  </si>
  <si>
    <t>44,84  1,7420186864497E-11  0</t>
  </si>
  <si>
    <t>42,87  8,99527555439125E-13  0</t>
  </si>
  <si>
    <t>40,98  3,33372860549552E-14  0</t>
  </si>
  <si>
    <t>39,18  7,89504111537226E-16  0</t>
  </si>
  <si>
    <t>37,46  8,97451851479246E-18  0</t>
  </si>
  <si>
    <t>283,46  5,35768561854153E-19  191,24</t>
  </si>
  <si>
    <t>270,99  5,15412307617629E-17  178,77</t>
  </si>
  <si>
    <t>259,08  2,38424782271454E-15  166,86</t>
  </si>
  <si>
    <t>247,69  7,06157066473175E-14  155,46</t>
  </si>
  <si>
    <t>236,79  1,50423079543168E-12  144,57</t>
  </si>
  <si>
    <t>226,38  2,45434773181301E-11  134,16</t>
  </si>
  <si>
    <t>216,43  3,18982962301489E-10  124,21</t>
  </si>
  <si>
    <t>206,91  3,3905386901794E-09  114,69</t>
  </si>
  <si>
    <t>197,81  3,00310268302436E-08  105,59</t>
  </si>
  <si>
    <t>189,11  2,24716014493529E-07  96,89</t>
  </si>
  <si>
    <t>180,8  1,43523298611654E-06  88,58</t>
  </si>
  <si>
    <t>172,85  7,88514446939926E-06  80,63</t>
  </si>
  <si>
    <t>165,25  3,74843976482602E-05  73,03</t>
  </si>
  <si>
    <t>157,98  0,000154868583255576  65,76</t>
  </si>
  <si>
    <t>151,04  0,000557905093150939  58,82</t>
  </si>
  <si>
    <t>144,39  0,00175648874954142  52,17</t>
  </si>
  <si>
    <t>138,05  0,00484050427627108  45,83</t>
  </si>
  <si>
    <t>131,98  0,0116869371891427  39,76</t>
  </si>
  <si>
    <t>126,17  0,02473261850504  33,98</t>
  </si>
  <si>
    <t>120,62  0,045881409683151  28,49</t>
  </si>
  <si>
    <t>115,32  0,0745992528288145  23,31</t>
  </si>
  <si>
    <t>110,25  0,106278050772587  18,49</t>
  </si>
  <si>
    <t>105,4  0,132628800026652  14,11</t>
  </si>
  <si>
    <t>100,77  0,144951845878554  10,28</t>
  </si>
  <si>
    <t>96,34  0,138728920102154  7,1</t>
  </si>
  <si>
    <t>92,1  0,116279166792574  4,6</t>
  </si>
  <si>
    <t>88,05  0,0853732812843773  2,78</t>
  </si>
  <si>
    <t>84,18  0,0549228941483528  1,55</t>
  </si>
  <si>
    <t>80,48  0,0309681973028432  0,79</t>
  </si>
  <si>
    <t>76,94  0,0153064931649265  0,37</t>
  </si>
  <si>
    <t>73,56  0,00663124029122933  0,16</t>
  </si>
  <si>
    <t>70,32  0,00251697380101604  0,06</t>
  </si>
  <si>
    <t>67,23  0,000836224358536789  0,02</t>
  </si>
  <si>
    <t>64,27  0,000242803520060636  0,01</t>
  </si>
  <si>
    <t>61,45  6,14711524043201E-05  0</t>
  </si>
  <si>
    <t>58,74  1,3525696514954E-05  0</t>
  </si>
  <si>
    <t>56,16  2,57514421941615E-06  0</t>
  </si>
  <si>
    <t>53,69  4,21737615545734E-07  0</t>
  </si>
  <si>
    <t>51,33  5,8953237752999E-08  0</t>
  </si>
  <si>
    <t>49,07  6,96202133360467E-09  0</t>
  </si>
  <si>
    <t>46,92  6,85114718052313E-10  0</t>
  </si>
  <si>
    <t>44,85  5,51392772743594E-11  0</t>
  </si>
  <si>
    <t>42,88  3,53483068789813E-12  0</t>
  </si>
  <si>
    <t>41  1,73573977635535E-13  0</t>
  </si>
  <si>
    <t>39,19  6,13004787763154E-15  0</t>
  </si>
  <si>
    <t>37,47  1,38610593172036E-16  0</t>
  </si>
  <si>
    <t>35,82  1,50712067866343E-18  0</t>
  </si>
  <si>
    <t>296,59  8,6017126769295E-20  204,34</t>
  </si>
  <si>
    <t>283,55  8,63467301744666E-18  191,3</t>
  </si>
  <si>
    <t>271,08  4,17489511633476E-16  178,83</t>
  </si>
  <si>
    <t>259,16  1,29470036842252E-14  166,91</t>
  </si>
  <si>
    <t>247,77  2,89322893545551E-13  155,52</t>
  </si>
  <si>
    <t>236,87  4,96240790281553E-12  144,62</t>
  </si>
  <si>
    <t>226,46  6,79463960159331E-11  134,21</t>
  </si>
  <si>
    <t>216,5  7,62672077233458E-10  124,25</t>
  </si>
  <si>
    <t>206,98  7,15182686447575E-09  114,73</t>
  </si>
  <si>
    <t>197,88  5,68136885701009E-08  105,63</t>
  </si>
  <si>
    <t>189,18  3,86369252710027E-07  96,93</t>
  </si>
  <si>
    <t>180,86  2,26747393231442E-06  88,61</t>
  </si>
  <si>
    <t>172,91  1,15541210279525E-05  80,66</t>
  </si>
  <si>
    <t>165,3  5,13596148105664E-05  73,05</t>
  </si>
  <si>
    <t>158,03  0,000199862991015287  65,78</t>
  </si>
  <si>
    <t>151,09  0,000682653286494452  58,83</t>
  </si>
  <si>
    <t>144,44  0,00205034234182092  52,19</t>
  </si>
  <si>
    <t>138,09  0,00542178352612636  45,84</t>
  </si>
  <si>
    <t>132,02  0,0126316645631874  39,78</t>
  </si>
  <si>
    <t>126,21  0,0259372320075361  33,99</t>
  </si>
  <si>
    <t>120,66  0,0469404450599589  28,49</t>
  </si>
  <si>
    <t>115,36  0,0748625706307079  23,29</t>
  </si>
  <si>
    <t>110,29  0,105188712521166  18,46</t>
  </si>
  <si>
    <t>105,44  0,130182084398946  14,06</t>
  </si>
  <si>
    <t>100,8  0,141883311149154  10,2</t>
  </si>
  <si>
    <t>96,37  0,136169670401029  7,01</t>
  </si>
  <si>
    <t>92,13  0,115087318209441  4,51</t>
  </si>
  <si>
    <t>88,08  0,0856746288705308  2,69</t>
  </si>
  <si>
    <t>84,21  0,0561906252032843  1,48</t>
  </si>
  <si>
    <t>80,5  0,0324765175242364  0,74</t>
  </si>
  <si>
    <t>76,96  0,0165438116222299  0,34</t>
  </si>
  <si>
    <t>73,58  0,00742756277378564  0,14</t>
  </si>
  <si>
    <t>70,34  0,00293805352230317  0,05</t>
  </si>
  <si>
    <t>67,25  0,00102320504618062  0,02</t>
  </si>
  <si>
    <t>64,29  0,00031334591385958  0,01</t>
  </si>
  <si>
    <t>61,47  8,42253019262303E-05  0</t>
  </si>
  <si>
    <t>58,76  1,98192354151E-05  0</t>
  </si>
  <si>
    <t>56,18  4,06837945194846E-06  0</t>
  </si>
  <si>
    <t>53,71  7,25121650654716E-07  0</t>
  </si>
  <si>
    <t>51,35  1,11529682578987E-07  0</t>
  </si>
  <si>
    <t>49,09  1,46853275407085E-08  0</t>
  </si>
  <si>
    <t>46,93  1,63807452721075E-09  0</t>
  </si>
  <si>
    <t>44,87  1,52648099580747E-10  0</t>
  </si>
  <si>
    <t>42,9  1,16612901384682E-11  0</t>
  </si>
  <si>
    <t>41,01  7,11158010561277E-13  0</t>
  </si>
  <si>
    <t>39,21  3,32875432243564E-14  0</t>
  </si>
  <si>
    <t>37,48  1,12276071012199E-15  0</t>
  </si>
  <si>
    <t>35,83  2,42893950571613E-17  0</t>
  </si>
  <si>
    <t>34,26  2,53095777373548E-19  0</t>
  </si>
  <si>
    <t>310,34  1,38099668857771E-20  218,06</t>
  </si>
  <si>
    <t>296,69  1,44405045782605E-18  204,41</t>
  </si>
  <si>
    <t>283,65  7,28403195581806E-17  191,36</t>
  </si>
  <si>
    <t>271,17  2,36043059871525E-15  178,89</t>
  </si>
  <si>
    <t>259,25  5,52147638098277E-14  166,97</t>
  </si>
  <si>
    <t>247,85  9,93169472135468E-13  155,57</t>
  </si>
  <si>
    <t>236,95  1,42896598790148E-11  144,67</t>
  </si>
  <si>
    <t>226,53  1,68906825101576E-10  134,25</t>
  </si>
  <si>
    <t>216,57  1,67177713757563E-09  124,29</t>
  </si>
  <si>
    <t>207,05  1,40520389793831E-08  114,77</t>
  </si>
  <si>
    <t>197,94  1,013836358445E-07  105,66</t>
  </si>
  <si>
    <t>189,24  6,33035438289198E-07  96,96</t>
  </si>
  <si>
    <t>180,92  3,44253603053872E-06  88,64</t>
  </si>
  <si>
    <t>172,96  1,63853172630087E-05  80,68</t>
  </si>
  <si>
    <t>165,36  6,85170202049249E-05  73,08</t>
  </si>
  <si>
    <t>158,09  0,000252435843308945  65,81</t>
  </si>
  <si>
    <t>151,14  0,000821157870924368  58,85</t>
  </si>
  <si>
    <t>144,49  0,00236194341582405  52,21</t>
  </si>
  <si>
    <t>138,14  0,00601314567781452  45,86</t>
  </si>
  <si>
    <t>132,06  0,0135570813552361  39,79</t>
  </si>
  <si>
    <t>126,26  0,0270748295420551  34</t>
  </si>
  <si>
    <t>120,7  0,0478961761640201  28,49</t>
  </si>
  <si>
    <t>115,4  0,0750423482987423  23,28</t>
  </si>
  <si>
    <t>110,32  0,104108604659061  18,43</t>
  </si>
  <si>
    <t>105,47  0,127863485200798  14</t>
  </si>
  <si>
    <t>100,83  0,139000965786126  10,12</t>
  </si>
  <si>
    <t>96,4  0,133744429707858  6,91</t>
  </si>
  <si>
    <t>92,16  0,11390556862581  4,41</t>
  </si>
  <si>
    <t>88,11  0,0858803710038582  2,6</t>
  </si>
  <si>
    <t>84,23  0,0573346946341253  1,41</t>
  </si>
  <si>
    <t>80,53  0,0339009257361361  0,69</t>
  </si>
  <si>
    <t>76,99  0,0177558388260166  0,31</t>
  </si>
  <si>
    <t>73,6  0,00823769830991246  0,12</t>
  </si>
  <si>
    <t>70,37  0,00338456463137841  0,04</t>
  </si>
  <si>
    <t>67,27  0,00123080470549723  0,01</t>
  </si>
  <si>
    <t>64,32  0,00039576982016904  0</t>
  </si>
  <si>
    <t>61,49  0,000112361954721277  0</t>
  </si>
  <si>
    <t>58,78  2,8106375154026E-05  0</t>
  </si>
  <si>
    <t>56,2  6,17671614638559E-06  0</t>
  </si>
  <si>
    <t>53,73  1,1880544290611E-06  0</t>
  </si>
  <si>
    <t>51,37  1,99023950196261E-07  0</t>
  </si>
  <si>
    <t>49,11  2,88539975781669E-08  0</t>
  </si>
  <si>
    <t>46,95  3,59065924396974E-09  0</t>
  </si>
  <si>
    <t>44,88  3,79465392865518E-10  0</t>
  </si>
  <si>
    <t>42,91  3,35796397822739E-11  0</t>
  </si>
  <si>
    <t>41,02  2,44121858902742E-12  0</t>
  </si>
  <si>
    <t>39,22  1,41960555644342E-13  0</t>
  </si>
  <si>
    <t>37,49  6,3479408736237E-15  0</t>
  </si>
  <si>
    <t>35,85  2,04900323875984E-16  0</t>
  </si>
  <si>
    <t>34,27  4,24895700329821E-18  0</t>
  </si>
  <si>
    <t>32,76  4,25032138641677E-20  0</t>
  </si>
  <si>
    <t>324,72  2,21717688731583E-21  232,41</t>
  </si>
  <si>
    <t>310,44  2,41114547103444E-19  218,13</t>
  </si>
  <si>
    <t>296,79  1,26664676894669E-17  204,48</t>
  </si>
  <si>
    <t>283,74  4,28120923972897E-16  191,43</t>
  </si>
  <si>
    <t>271,26  1,04619802801663E-14  178,95</t>
  </si>
  <si>
    <t>259,34  1,96926485583302E-13  167,02</t>
  </si>
  <si>
    <t>247,93  2,97039435810161E-12  155,62</t>
  </si>
  <si>
    <t>237,03  3,68803731283556E-11  144,72</t>
  </si>
  <si>
    <t>226,61  3,84225833113654E-10  134,3</t>
  </si>
  <si>
    <t>216,64  3,40703425732425E-09  124,33</t>
  </si>
  <si>
    <t>207,12  2,59939843149867E-08  114,8</t>
  </si>
  <si>
    <t>198,01  1,72073935958077E-07  105,7</t>
  </si>
  <si>
    <t>189,3  9,94816001774615E-07  96,99</t>
  </si>
  <si>
    <t>180,98  5,04867833756249E-06  88,67</t>
  </si>
  <si>
    <t>173,02  2,25814877714389E-05  80,71</t>
  </si>
  <si>
    <t>165,41  8,92903602889471E-05  73,1</t>
  </si>
  <si>
    <t>158,14  0,000312857518928265  65,83</t>
  </si>
  <si>
    <t>151,19  0,000973022129132176  58,87</t>
  </si>
  <si>
    <t>144,54  0,0026893911935327  52,23</t>
  </si>
  <si>
    <t>138,18  0,00661115877414362  45,87</t>
  </si>
  <si>
    <t>132,11  0,0144604646567915  39,8</t>
  </si>
  <si>
    <t>126,3  0,0281475963800032  34</t>
  </si>
  <si>
    <t>120,74  0,0487578701242496  28,49</t>
  </si>
  <si>
    <t>115,43  0,0751501609936621  23,27</t>
  </si>
  <si>
    <t>110,36  0,103041234963737  18,4</t>
  </si>
  <si>
    <t>105,51  0,125662361058992  13,95</t>
  </si>
  <si>
    <t>100,87  0,13628667990216  10,04</t>
  </si>
  <si>
    <t>96,43  0,131442067210866  6,82</t>
  </si>
  <si>
    <t>92,19  0,112737755912552  4,32</t>
  </si>
  <si>
    <t>88,14  0,0860037545925727  2,51</t>
  </si>
  <si>
    <t>84,26  0,0583661957691757  1,33</t>
  </si>
  <si>
    <t>80,56  0,0352441581597795  0,64</t>
  </si>
  <si>
    <t>77,01  0,0189390085570397  0,28</t>
  </si>
  <si>
    <t>73,63  0,00905694529591406  0,11</t>
  </si>
  <si>
    <t>70,39  0,0038537833940424  0,04</t>
  </si>
  <si>
    <t>67,3  0,00145842871084062  0,01</t>
  </si>
  <si>
    <t>64,34  0,000490499139827971  0</t>
  </si>
  <si>
    <t>61,51  0,000146428425956439  0</t>
  </si>
  <si>
    <t>58,8  3,87349086168265E-05  0</t>
  </si>
  <si>
    <t>56,22  9,05851172765771E-06  0</t>
  </si>
  <si>
    <t>53,75  1,86702905638788E-06  0</t>
  </si>
  <si>
    <t>51,38  3,37794498835289E-07  0</t>
  </si>
  <si>
    <t>49,12  5,33751978322713E-08  0</t>
  </si>
  <si>
    <t>46,96  7,31766141288695E-09  0</t>
  </si>
  <si>
    <t>44,9  8,63200208895544E-10  0</t>
  </si>
  <si>
    <t>42,92  8,6666138674487E-11  0</t>
  </si>
  <si>
    <t>41,04  7,30125333811414E-12  0</t>
  </si>
  <si>
    <t>39,23  5,06310113193522E-13  0</t>
  </si>
  <si>
    <t>37,51  2,81355580950699E-14  0</t>
  </si>
  <si>
    <t>35,86  1,20430712704486E-15  0</t>
  </si>
  <si>
    <t>34,28  3,7269664854515E-17  0</t>
  </si>
  <si>
    <t>32,77  7,42083108964769E-19  0</t>
  </si>
  <si>
    <t>31,33  7,1377057631288E-21  0</t>
  </si>
  <si>
    <t>339,77  3,55965614567242E-22  247,42</t>
  </si>
  <si>
    <t>324,83  4,01995817928198E-20  232,48</t>
  </si>
  <si>
    <t>310,54  2,19587420278737E-18  218,2</t>
  </si>
  <si>
    <t>296,89  7,72806498571921E-17  204,55</t>
  </si>
  <si>
    <t>283,83  1,96927873739254E-15  191,49</t>
  </si>
  <si>
    <t>271,35  3,87136577772257E-14  179,01</t>
  </si>
  <si>
    <t>259,42  6,10890479018704E-13  167,08</t>
  </si>
  <si>
    <t>248,01  7,94885113687016E-12  155,67</t>
  </si>
  <si>
    <t>237,11  8,69517370310822E-11  144,77</t>
  </si>
  <si>
    <t>226,68  8,11203939410352E-10  134,34</t>
  </si>
  <si>
    <t>216,72  6,52571709171178E-09  124,37</t>
  </si>
  <si>
    <t>207,19  4,56538784215718E-08  114,84</t>
  </si>
  <si>
    <t>198,08  2,79632691404287E-07  105,73</t>
  </si>
  <si>
    <t>189,37  1,50749389112403E-06  97,02</t>
  </si>
  <si>
    <t>181,04  7,18277545569839E-06  88,7</t>
  </si>
  <si>
    <t>173,08  3,03471901512035E-05  80,74</t>
  </si>
  <si>
    <t>165,47  0,000113981210004589  73,13</t>
  </si>
  <si>
    <t>158,19  0,000381301936570949  65,85</t>
  </si>
  <si>
    <t>151,24  0,00113771989597213  58,89</t>
  </si>
  <si>
    <t>144,59  0,00303079164949366  52,24</t>
  </si>
  <si>
    <t>138,23  0,00721276183100909  45,89</t>
  </si>
  <si>
    <t>132,15  0,0153397604900094  39,81</t>
  </si>
  <si>
    <t>126,34  0,029158030531242  34,01</t>
  </si>
  <si>
    <t>120,78  0,0495339753420309  28,49</t>
  </si>
  <si>
    <t>115,47  0,0751959010701382  23,26</t>
  </si>
  <si>
    <t>110,4  0,101989194362582  18,37</t>
  </si>
  <si>
    <t>105,54  0,123569244440428  13,9</t>
  </si>
  <si>
    <t>100,9  0,133724704875814  9,94</t>
  </si>
  <si>
    <t>96,46  0,129252679927834  6,73</t>
  </si>
  <si>
    <t>92,22  0,111586714811924  4,22</t>
  </si>
  <si>
    <t>88,17  0,08605610069883  2,42</t>
  </si>
  <si>
    <t>84,29  0,059295241869072  1,26</t>
  </si>
  <si>
    <t>80,58  0,0365093426023702  0,59</t>
  </si>
  <si>
    <t>77,04  0,0200906307009169  0,25</t>
  </si>
  <si>
    <t>73,65  0,00988111034201661  0,09</t>
  </si>
  <si>
    <t>70,41  0,00434299575223779  0,03</t>
  </si>
  <si>
    <t>67,32  0,00170528841174529  0,01</t>
  </si>
  <si>
    <t>64,36  0,00059780654319407  0</t>
  </si>
  <si>
    <t>61,53  0,000186919272310808  0</t>
  </si>
  <si>
    <t>58,82  5,20557214468082E-05  0</t>
  </si>
  <si>
    <t>56,24  1,28875819278269E-05  0</t>
  </si>
  <si>
    <t>53,76  2,82920147246753E-06  0</t>
  </si>
  <si>
    <t>51,4  5,48940688343829E-07  0</t>
  </si>
  <si>
    <t>49,14  9,37441818474189E-08  0</t>
  </si>
  <si>
    <t>46,98  1,40159988267691E-08  0</t>
  </si>
  <si>
    <t>44,91  1,82244750250502E-09  0</t>
  </si>
  <si>
    <t>42,94  2,04330126305816E-10  0</t>
  </si>
  <si>
    <t>41,05  1,95383403348235E-11  0</t>
  </si>
  <si>
    <t>39,24  1,57063701545651E-12  0</t>
  </si>
  <si>
    <t>37,52  1,04113211676447E-13  0</t>
  </si>
  <si>
    <t>35,87  5,53959474013282E-15  0</t>
  </si>
  <si>
    <t>34,29  2,27389670942928E-16  0</t>
  </si>
  <si>
    <t>32,78  6,75828636171103E-18  0</t>
  </si>
  <si>
    <t>31,34  1,29413574658509E-19  0</t>
  </si>
  <si>
    <t>29,96  1,19865861729458E-21  0</t>
  </si>
  <si>
    <t>355,51  5,71499366961161E-23  263,14</t>
  </si>
  <si>
    <t>339,88  6,69304134364112E-21  247,51</t>
  </si>
  <si>
    <t>324,93  3,7959999601915E-19  232,56</t>
  </si>
  <si>
    <t>310,65  1,38886530493819E-17  218,27</t>
  </si>
  <si>
    <t>296,99  3,68429885635211E-16  204,61</t>
  </si>
  <si>
    <t>283,93  7,5508238968875E-15  191,55</t>
  </si>
  <si>
    <t>271,44  1,24405490018655E-13  179,07</t>
  </si>
  <si>
    <t>259,51  1,69290544514847E-12  167,13</t>
  </si>
  <si>
    <t>248,1  1,94004003170698E-11  155,72</t>
  </si>
  <si>
    <t>237,19  1,89962513993612E-10  144,81</t>
  </si>
  <si>
    <t>226,76  1,60703744811477E-09  134,38</t>
  </si>
  <si>
    <t>216,79  1,18480485618491E-08  124,41</t>
  </si>
  <si>
    <t>207,25  7,66480295818572E-08  114,88</t>
  </si>
  <si>
    <t>198,14  4,37471786249188E-07  105,77</t>
  </si>
  <si>
    <t>189,43  2,21245607589859E-06  97,06</t>
  </si>
  <si>
    <t>181,1  9,94873106426829E-06  88,73</t>
  </si>
  <si>
    <t>173,14  3,98844744786076E-05  80,76</t>
  </si>
  <si>
    <t>165,52  0,000142854356762129  73,15</t>
  </si>
  <si>
    <t>158,24  0,000457852054884177  65,87</t>
  </si>
  <si>
    <t>151,29  0,00131462296504722  58,91</t>
  </si>
  <si>
    <t>144,63  0,00338429311348562  52,26</t>
  </si>
  <si>
    <t>138,27  0,00781525150942972  45,9</t>
  </si>
  <si>
    <t>132,19  0,0161934765843941  39,82</t>
  </si>
  <si>
    <t>126,38  0,0301088209048596  34,02</t>
  </si>
  <si>
    <t>120,82  0,0502321727750452  28,49</t>
  </si>
  <si>
    <t>115,51  0,0751880461578718  23,25</t>
  </si>
  <si>
    <t>110,43  0,100954363961666  18,34</t>
  </si>
  <si>
    <t>105,58  0,121575684406604  13,86</t>
  </si>
  <si>
    <t>100,93  0,131301285401403  9,84</t>
  </si>
  <si>
    <t>96,5  0,127167428228405  6,64</t>
  </si>
  <si>
    <t>92,25  0,110454503448267  4,11</t>
  </si>
  <si>
    <t>88,2  0,0860471113375577  2,32</t>
  </si>
  <si>
    <t>84,32  0,060131027516748  1,19</t>
  </si>
  <si>
    <t>80,61  0,0376998458997812  0,54</t>
  </si>
  <si>
    <t>77,07  0,0212087508167326  0,22</t>
  </si>
  <si>
    <t>73,68  0,0107064900137562  0,08</t>
  </si>
  <si>
    <t>70,44  0,00484954834115662  0,02</t>
  </si>
  <si>
    <t>67,34  0,00197044221169541  0,01</t>
  </si>
  <si>
    <t>64,38  0,000717822093131972  0</t>
  </si>
  <si>
    <t>61,55  0,000234268722110704  0</t>
  </si>
  <si>
    <t>58,84  6,8415398037368E-05  0</t>
  </si>
  <si>
    <t>56,25  1,78503542898523E-05  0</t>
  </si>
  <si>
    <t>53,78  4,15224501044884E-06  0</t>
  </si>
  <si>
    <t>51,42  8,58791088654911E-07  0</t>
  </si>
  <si>
    <t>49,16  1,57386558859628E-07  0</t>
  </si>
  <si>
    <t>46,99  2,54473542767216E-08  0</t>
  </si>
  <si>
    <t>44,93  3,6103638573021E-09  0</t>
  </si>
  <si>
    <t>42,95  4,46397804149762E-10  0</t>
  </si>
  <si>
    <t>41,06  4,76863407679887E-11  0</t>
  </si>
  <si>
    <t>39,26  4,35256408004316E-12  0</t>
  </si>
  <si>
    <t>37,53  3,34565521825912E-13  0</t>
  </si>
  <si>
    <t>35,88  2,1240519967352E-14  0</t>
  </si>
  <si>
    <t>34,3  1,08406374189329E-15  0</t>
  </si>
  <si>
    <t>32,8  4,27453878583017E-17  0</t>
  </si>
  <si>
    <t>31,35  1,22203740024898E-18  0</t>
  </si>
  <si>
    <t>29,97  2,25377714985652E-20  0</t>
  </si>
  <si>
    <t>28,66  2,01294719689381E-22  0</t>
  </si>
  <si>
    <t>360,93  2,97044669452915E-23  271,53</t>
  </si>
  <si>
    <t>377,66  4,76902356869428E-24  288,23</t>
  </si>
  <si>
    <t>395,16  7,65662142351954E-25  305,7</t>
  </si>
  <si>
    <t>413,47  1,22926319777315E-25  323,98</t>
  </si>
  <si>
    <t>432,64  1,97357022871511E-26  343,11</t>
  </si>
  <si>
    <t>452,68  3,1685480007259E-27  363,13</t>
  </si>
  <si>
    <t>473,66  5,08707330847913E-28  384,08</t>
  </si>
  <si>
    <t>495,61  8,16724721856897E-29  406</t>
  </si>
  <si>
    <t>518,58  1,31124367753951E-29  428,94</t>
  </si>
  <si>
    <t>542,61  2,10518909967429E-30  452,94</t>
  </si>
  <si>
    <t>567,76  3,3798608308278E-31  478,05</t>
  </si>
  <si>
    <t>594,07  5,42633402269217E-32  504,34</t>
  </si>
  <si>
    <t>621,6  8,71192702884529E-33  531,84</t>
  </si>
  <si>
    <t>650,4  1,39869149666326E-33  560,61</t>
  </si>
  <si>
    <t>680,54  2,24558573133194E-34  590,72</t>
  </si>
  <si>
    <t>712,08  3,6052662712204E-35  622,23</t>
  </si>
  <si>
    <t>745,08  5,78822028704795E-36  655,2</t>
  </si>
  <si>
    <t>779,61  9,29293194204005E-37  689,7</t>
  </si>
  <si>
    <t>815,73  1,49197127608715E-37  725,79</t>
  </si>
  <si>
    <t>853,54  2,39534551910215E-38  763,57</t>
  </si>
  <si>
    <t>893,09  3,84570416860238E-39  803,09</t>
  </si>
  <si>
    <t>345,06  3,44712695049907E-21  255,66</t>
  </si>
  <si>
    <t>329,89  1,93742449305338E-19  240,49</t>
  </si>
  <si>
    <t>315,38  7,02578195598178E-18  225,98</t>
  </si>
  <si>
    <t>301,52  1,8477233073156E-16  212,11</t>
  </si>
  <si>
    <t>288,26  3,75563493049937E-15  198,85</t>
  </si>
  <si>
    <t>275,58  6,13975601820832E-14  186,18</t>
  </si>
  <si>
    <t>263,47  8,29560710216326E-13  174,06</t>
  </si>
  <si>
    <t>251,88  9,44687194890451E-12  162,48</t>
  </si>
  <si>
    <t>240,81  9,20139779408146E-11  151,4</t>
  </si>
  <si>
    <t>230,22  7,75299297338183E-10  140,81</t>
  </si>
  <si>
    <t>220,09  5,70182279147827E-09  130,69</t>
  </si>
  <si>
    <t>210,42  3,68629855107876E-08  121,01</t>
  </si>
  <si>
    <t>201,16  2,10722786008488E-07  111,76</t>
  </si>
  <si>
    <t>192,32  1,07010231764254E-06  102,91</t>
  </si>
  <si>
    <t>183,86  4,84630388065824E-06  94,46</t>
  </si>
  <si>
    <t>175,78  1,9635658500209E-05  86,37</t>
  </si>
  <si>
    <t>168,05  7,13607303302339E-05  78,64</t>
  </si>
  <si>
    <t>160,66  0,000233116740837373  71,25</t>
  </si>
  <si>
    <t>153,59  0,000685698146198038  64,19</t>
  </si>
  <si>
    <t>146,84  0,00181857826278153  57,44</t>
  </si>
  <si>
    <t>140,38  0,00435346740899765  50,98</t>
  </si>
  <si>
    <t>134,21  0,00941449668343527  44,81</t>
  </si>
  <si>
    <t>128,31  0,0184025840436064  38,91</t>
  </si>
  <si>
    <t>122,67  0,0325287002493549  33,27</t>
  </si>
  <si>
    <t>117,27  0,0520104604008822  27,9</t>
  </si>
  <si>
    <t>112,12  0,0752392048559941  22,81</t>
  </si>
  <si>
    <t>107,19  0,0984929377976589  18,05</t>
  </si>
  <si>
    <t>102,47  0,0943050297808522  13,69</t>
  </si>
  <si>
    <t>97,97  0,170983670757116  9,84</t>
  </si>
  <si>
    <t>93,66  0,0981691824984323  6,63</t>
  </si>
  <si>
    <t>89,54  0,107010532214541  4,14</t>
  </si>
  <si>
    <t>85,6  0,0853742367392731  2,36</t>
  </si>
  <si>
    <t>81,84  0,0617831243177452  1,22</t>
  </si>
  <si>
    <t>78,24  0,0405824937655494  0,57</t>
  </si>
  <si>
    <t>74,8  0,0242102580500381  0,24</t>
  </si>
  <si>
    <t>71,51  0,0131239599726762  0,09</t>
  </si>
  <si>
    <t>68,37  0,00646630521348553  0,03</t>
  </si>
  <si>
    <t>65,36  0,00289576969624009  0,01</t>
  </si>
  <si>
    <t>62,49  0,00117818639384837  0</t>
  </si>
  <si>
    <t>59,74  0,000435148983055506  0</t>
  </si>
  <si>
    <t>57,11  0,000144715010344045  0</t>
  </si>
  <si>
    <t>54,6  4,69785787020812E-05  0</t>
  </si>
  <si>
    <t>52,2  9,56118005653959E-06  0</t>
  </si>
  <si>
    <t>49,91  3,45322194347622E-06  0</t>
  </si>
  <si>
    <t>47,71  7,84529343029061E-07  0</t>
  </si>
  <si>
    <t>45,61  1,61490644258296E-07  0</t>
  </si>
  <si>
    <t>43,61  3,01015535545976E-08  0</t>
  </si>
  <si>
    <t>41,69  5,06931078379989E-09  0</t>
  </si>
  <si>
    <t>39,86  7,67694451182843E-10  0</t>
  </si>
  <si>
    <t>38,1  1,03747315975565E-10  0</t>
  </si>
  <si>
    <t>36,43  1,23754319725049E-11  0</t>
  </si>
  <si>
    <t>34,83  1,28433157201473E-12  0</t>
  </si>
  <si>
    <t>33,3  1,1386406408272E-13  0</t>
  </si>
  <si>
    <t>31,83  8,42596683883809E-15  0</t>
  </si>
  <si>
    <t>30,43  5,0476735722126E-16  0</t>
  </si>
  <si>
    <t>29,09  2,37462560724863E-17  0</t>
  </si>
  <si>
    <t>27,81  5,09443072512158E-19  0</t>
  </si>
  <si>
    <t>26,59  1,11912206528948E-19  0</t>
  </si>
  <si>
    <t>25,42  2,29330749076185E-21  0</t>
  </si>
  <si>
    <t>24,3  2,52054727312095E-23  0</t>
  </si>
  <si>
    <t>361,05  5,73379986678725E-22  271,62</t>
  </si>
  <si>
    <t>345,18  3,34249586394396E-20  255,74</t>
  </si>
  <si>
    <t>330  1,25866288920255E-18  240,57</t>
  </si>
  <si>
    <t>315,49  3,44154921596415E-17  226,06</t>
  </si>
  <si>
    <t>301,62  7,28221315270269E-16  212,18</t>
  </si>
  <si>
    <t>288,35  1,24103237248712E-14  198,92</t>
  </si>
  <si>
    <t>275,68  1,75045414526363E-13  186,24</t>
  </si>
  <si>
    <t>263,55  2,0840615457142E-12  174,12</t>
  </si>
  <si>
    <t>251,96  2,12558076452418E-11  162,53</t>
  </si>
  <si>
    <t>240,89  1,87849009973503E-10  151,45</t>
  </si>
  <si>
    <t>230,29  1,45150152971818E-09  140,86</t>
  </si>
  <si>
    <t>220,17  9,87739002375743E-09  130,73</t>
  </si>
  <si>
    <t>210,49  5,95430116164151E-08  121,05</t>
  </si>
  <si>
    <t>201,23  3,19498489103771E-07  111,8</t>
  </si>
  <si>
    <t>192,38  1,53204938602795E-06  102,95</t>
  </si>
  <si>
    <t>183,92  6,58657046481153E-06  94,49</t>
  </si>
  <si>
    <t>175,84  2,54564435778612E-05  86,4</t>
  </si>
  <si>
    <t>168,1  8,86441391022682E-05  78,67</t>
  </si>
  <si>
    <t>160,71  0,000278614026046477  71,28</t>
  </si>
  <si>
    <t>153,64  0,000791577460760541  64,21</t>
  </si>
  <si>
    <t>146,89  0,00203530395686214  57,46</t>
  </si>
  <si>
    <t>140,43  0,00474031843919535  51</t>
  </si>
  <si>
    <t>134,26  0,0100076100128939  44,82</t>
  </si>
  <si>
    <t>128,35  0,0191611190599587  38,92</t>
  </si>
  <si>
    <t>122,71  0,0332842325087622  33,28</t>
  </si>
  <si>
    <t>117,31  0,052468176320616  27,91</t>
  </si>
  <si>
    <t>112,15  0,0750716891436543  22,81</t>
  </si>
  <si>
    <t>107,22  0,0939154966506983  18,02</t>
  </si>
  <si>
    <t>102,51  0,107319001055632  13,64</t>
  </si>
  <si>
    <t>98  0,146416476113898  9,76</t>
  </si>
  <si>
    <t>93,69  0,111816631351651  6,53</t>
  </si>
  <si>
    <t>89,57  0,102052088607002  4,03</t>
  </si>
  <si>
    <t>85,63  0,0852201612587687  2,27</t>
  </si>
  <si>
    <t>81,87  0,0623411172972155  1,15</t>
  </si>
  <si>
    <t>78,27  0,0415142393334722  0,52</t>
  </si>
  <si>
    <t>74,83  0,0251798074471655  0,21</t>
  </si>
  <si>
    <t>71,54  0,0139168387402017  0,07</t>
  </si>
  <si>
    <t>68,39  0,00701110123291105  0,02</t>
  </si>
  <si>
    <t>65,38  0,00321962522996678  0,01</t>
  </si>
  <si>
    <t>62,51  0,00134733191719566  0</t>
  </si>
  <si>
    <t>59,76  0,000513300826739596  0</t>
  </si>
  <si>
    <t>57,13  0,000177797061268884  0</t>
  </si>
  <si>
    <t>54,62  5,73844547064847E-05  0</t>
  </si>
  <si>
    <t>52,22  1,48641811969611E-05  0</t>
  </si>
  <si>
    <t>49,92  4,05049559279404E-06  0</t>
  </si>
  <si>
    <t>47,73  1,13266348500443E-06  0</t>
  </si>
  <si>
    <t>45,63  2,45025208661318E-07  0</t>
  </si>
  <si>
    <t>43,62  4,8147257132384E-08  0</t>
  </si>
  <si>
    <t>41,7  8,58243802824914E-09  0</t>
  </si>
  <si>
    <t>39,87  1,38348308473642E-09  0</t>
  </si>
  <si>
    <t>38,12  2,00576493882922E-10  0</t>
  </si>
  <si>
    <t>36,44  2,59391502057195E-11  0</t>
  </si>
  <si>
    <t>34,84  2,95897943974201E-12  0</t>
  </si>
  <si>
    <t>33,31  2,93496572219744E-13  0</t>
  </si>
  <si>
    <t>31,84  2,48607954848421E-14  0</t>
  </si>
  <si>
    <t>30,44  1,75777320024273E-15  0</t>
  </si>
  <si>
    <t>29,1  1,00795078037943E-16  0</t>
  </si>
  <si>
    <t>27,82  4,34785499973196E-18  0</t>
  </si>
  <si>
    <t>26,6  1,61071675472126E-19  0</t>
  </si>
  <si>
    <t>25,43  2,0337831412247E-20  0</t>
  </si>
  <si>
    <t>24,31  4,02048657576834E-22  0</t>
  </si>
  <si>
    <t>23,24  4,23283868722978E-24  0</t>
  </si>
  <si>
    <t>377,79  9,52580882838032E-23  288,32</t>
  </si>
  <si>
    <t>361,17  5,75218058384447E-21  271,71</t>
  </si>
  <si>
    <t>345,29  2,24618854105501E-19  255,83</t>
  </si>
  <si>
    <t>330,11  6,37620163329648E-18  240,65</t>
  </si>
  <si>
    <t>315,59  1,40237212686184E-16  226,13</t>
  </si>
  <si>
    <t>301,72  2,48725849517227E-15  212,25</t>
  </si>
  <si>
    <t>288,45  3,6559416740461E-14  198,99</t>
  </si>
  <si>
    <t>275,77  4,54224265844634E-13  186,3</t>
  </si>
  <si>
    <t>263,64  4,8414795089736E-12  174,18</t>
  </si>
  <si>
    <t>252,05  4,47826109342531E-11  162,58</t>
  </si>
  <si>
    <t>240,97  3,62750656024001E-10  151,5</t>
  </si>
  <si>
    <t>230,37  2,59206045358736E-09  140,91</t>
  </si>
  <si>
    <t>220,24  1,64361703340492E-08  130,78</t>
  </si>
  <si>
    <t>210,56  9,29381005791971E-08  121,09</t>
  </si>
  <si>
    <t>201,3  4,70517182094393E-07  111,83</t>
  </si>
  <si>
    <t>192,45  2,13992018243555E-06  102,98</t>
  </si>
  <si>
    <t>183,98  8,76728792563656E-06  94,52</t>
  </si>
  <si>
    <t>175,89  3,24322868405044E-05  86,43</t>
  </si>
  <si>
    <t>168,16  0,000108532302133084  78,7</t>
  </si>
  <si>
    <t>160,77  0,000329067538026876  71,3</t>
  </si>
  <si>
    <t>153,7  0,00090511290024787  64,23</t>
  </si>
  <si>
    <t>146,94  0,00226072830947284  57,47</t>
  </si>
  <si>
    <t>140,48  0,00513171497064655  51,01</t>
  </si>
  <si>
    <t>134,3  0,010592643322464  44,84</t>
  </si>
  <si>
    <t>128,39  0,0198913921736921  38,93</t>
  </si>
  <si>
    <t>122,75  0,0339924549045123  33,29</t>
  </si>
  <si>
    <t>117,35  0,0528755251901027  27,91</t>
  </si>
  <si>
    <t>112,19  0,0743011613716299  22,8</t>
  </si>
  <si>
    <t>107,26  0,0929029132449079  18</t>
  </si>
  <si>
    <t>102,54  0,111345168055257  13,59</t>
  </si>
  <si>
    <t>98,03  0,134295735607407  9,69</t>
  </si>
  <si>
    <t>93,72  0,116059410175555  6,44</t>
  </si>
  <si>
    <t>89,6  0,100989530946464  3,93</t>
  </si>
  <si>
    <t>85,66  0,0843735941997234  2,17</t>
  </si>
  <si>
    <t>81,89  0,0628395358752203  1,08</t>
  </si>
  <si>
    <t>78,29  0,0423892887571937  0,47</t>
  </si>
  <si>
    <t>74,85  0,0261146440223108  0,18</t>
  </si>
  <si>
    <t>71,56  0,0146995569465329  0,06</t>
  </si>
  <si>
    <t>68,41  0,00756208682929915  0,02</t>
  </si>
  <si>
    <t>65,4  0,00355574548949857  0</t>
  </si>
  <si>
    <t>62,53  0,00152784945837314  0</t>
  </si>
  <si>
    <t>59,78  0,000599497629203399  0</t>
  </si>
  <si>
    <t>57,15  0,000214807194017657  0</t>
  </si>
  <si>
    <t>54,64  7,07791543761935E-05  0</t>
  </si>
  <si>
    <t>52,24  2,02686250305864E-05  0</t>
  </si>
  <si>
    <t>49,94  5,39801856894632E-06  0</t>
  </si>
  <si>
    <t>47,74  1,48015524386391E-06  0</t>
  </si>
  <si>
    <t>45,64  3,62480684721478E-07  0</t>
  </si>
  <si>
    <t>43,64  7,48575313134512E-08  0</t>
  </si>
  <si>
    <t>41,72  1,40709041223832E-08  0</t>
  </si>
  <si>
    <t>39,88  2,40251296590301E-09  0</t>
  </si>
  <si>
    <t>38,13  3,71188066107448E-10  0</t>
  </si>
  <si>
    <t>36,45  5,15771346215345E-11  0</t>
  </si>
  <si>
    <t>34,85  6,39017507459724E-12  0</t>
  </si>
  <si>
    <t>33,32  6,97990741007492E-13  0</t>
  </si>
  <si>
    <t>31,85  6,62645250313677E-14  0</t>
  </si>
  <si>
    <t>30,45  5,37151416421286E-15  0</t>
  </si>
  <si>
    <t>29,11  3,63572404449935E-16  0</t>
  </si>
  <si>
    <t>27,83  1,98723732202E-17  0</t>
  </si>
  <si>
    <t>26,61  8,41577410972168E-19  0</t>
  </si>
  <si>
    <t>25,44  4,07710621830764E-20  0</t>
  </si>
  <si>
    <t>24,32  3,68606187138696E-21  0</t>
  </si>
  <si>
    <t>23,25  7,03597912416176E-23  0</t>
  </si>
  <si>
    <t>22,23  7,10834648617158E-25  0</t>
  </si>
  <si>
    <t>395,29  1,58077499977E-23  305,8</t>
  </si>
  <si>
    <t>377,91  9,87603121755976E-22  288,42</t>
  </si>
  <si>
    <t>361,29  3,99410285247802E-20  271,8</t>
  </si>
  <si>
    <t>345,41  1,1754945397231E-18  255,91</t>
  </si>
  <si>
    <t>330,22  2,68344023649765E-17  240,73</t>
  </si>
  <si>
    <t>315,7  4,94569496042504E-16  226,21</t>
  </si>
  <si>
    <t>301,82  7,56336762365724E-15  212,32</t>
  </si>
  <si>
    <t>288,55  9,78932555254162E-14  199,05</t>
  </si>
  <si>
    <t>275,86  1,0884540268437E-12  186,36</t>
  </si>
  <si>
    <t>263,73  1,05172233707751E-11  174,23</t>
  </si>
  <si>
    <t>252,13  8,91246276785399E-11  162,64</t>
  </si>
  <si>
    <t>241,05  6,67266768571122E-10  151,55</t>
  </si>
  <si>
    <t>230,45  4,44034357292815E-09  140,95</t>
  </si>
  <si>
    <t>220,31  2,63935942612577E-08  130,82</t>
  </si>
  <si>
    <t>210,63  1,4071083554511E-07  121,13</t>
  </si>
  <si>
    <t>201,36  6,75130118241179E-07  111,87</t>
  </si>
  <si>
    <t>192,51  2,92358930656404E-06  103,02</t>
  </si>
  <si>
    <t>184,04  1,14537248569193E-05  94,55</t>
  </si>
  <si>
    <t>175,95  4,06759292200993E-05  86,46</t>
  </si>
  <si>
    <t>168,22  0,000131159293797684  78,72</t>
  </si>
  <si>
    <t>160,82  0,000384515852244583  71,33</t>
  </si>
  <si>
    <t>153,75  0,00102601843956947  64,25</t>
  </si>
  <si>
    <t>146,99  0,00249400945908297  57,49</t>
  </si>
  <si>
    <t>140,52  0,00552632744157429  51,03</t>
  </si>
  <si>
    <t>134,34  0,0111684766759682  44,85</t>
  </si>
  <si>
    <t>128,44  0,0205937344635509  38,94</t>
  </si>
  <si>
    <t>122,79  0,0346560753955556  33,3</t>
  </si>
  <si>
    <t>117,39  0,053144293788642  27,91</t>
  </si>
  <si>
    <t>112,23  0,0736895765341857  22,79</t>
  </si>
  <si>
    <t>107,29  0,0927399455713197  17,98</t>
  </si>
  <si>
    <t>102,58  0,11193279052289  13,54</t>
  </si>
  <si>
    <t>98,07  0,127513746140216  9,61</t>
  </si>
  <si>
    <t>93,75  0,116702442226728  6,33</t>
  </si>
  <si>
    <t>89,63  0,100852593132144  3,82</t>
  </si>
  <si>
    <t>85,69  0,0837066912712161  2,07</t>
  </si>
  <si>
    <t>81,92  0,0631725542711395  1</t>
  </si>
  <si>
    <t>78,32  0,043210688082642  0,43</t>
  </si>
  <si>
    <t>74,88  0,0270150178850375  0,16</t>
  </si>
  <si>
    <t>71,58  0,0154706164479745  0,05</t>
  </si>
  <si>
    <t>68,44  0,00811749162898441  0,01</t>
  </si>
  <si>
    <t>65,43  0,00390296693152133  0</t>
  </si>
  <si>
    <t>62,55  0,00171935477666696  0</t>
  </si>
  <si>
    <t>59,8  0,000693637153883394  0</t>
  </si>
  <si>
    <t>57,17  0,000256285972407555  0</t>
  </si>
  <si>
    <t>54,66  8,68568442158625E-05  0</t>
  </si>
  <si>
    <t>52,25  2,63635643070092E-05  0</t>
  </si>
  <si>
    <t>49,95  7,26627967962102E-06  0</t>
  </si>
  <si>
    <t>47,76  1,95865346020462E-06  0</t>
  </si>
  <si>
    <t>45,66  5,03997862399957E-07  0</t>
  </si>
  <si>
    <t>43,65  1,13399807553583E-07  0</t>
  </si>
  <si>
    <t>41,73  2,24056551982905E-08  0</t>
  </si>
  <si>
    <t>39,9  4,0358973607535E-09  0</t>
  </si>
  <si>
    <t>38,14  6,61001970725808E-10  0</t>
  </si>
  <si>
    <t>36,46  9,79957362157201E-11  0</t>
  </si>
  <si>
    <t>34,86  1,30646964426642E-11  0</t>
  </si>
  <si>
    <t>33,33  1,55247511151748E-12  0</t>
  </si>
  <si>
    <t>31,86  1,62576090774949E-13  0</t>
  </si>
  <si>
    <t>30,46  1,47934593418876E-14  0</t>
  </si>
  <si>
    <t>29,12  1,14939197533539E-15  0</t>
  </si>
  <si>
    <t>27,84  7,4535684185864E-17  0</t>
  </si>
  <si>
    <t>26,62  3,90891342200139E-18  0</t>
  </si>
  <si>
    <t>25,45  1,69299168942552E-19  0</t>
  </si>
  <si>
    <t>24,33  9,3333715629942E-21  0</t>
  </si>
  <si>
    <t>23,26  6,66374568365582E-22  0</t>
  </si>
  <si>
    <t>22,24  1,22930912605636E-23  0</t>
  </si>
  <si>
    <t>21,26  1,19372821647827E-25  0</t>
  </si>
  <si>
    <t>413,61  2,62046623511961E-24  324,09</t>
  </si>
  <si>
    <t>395,42  1,6919455679699E-22  305,9</t>
  </si>
  <si>
    <t>378,04  7,07834124401231E-21  288,51</t>
  </si>
  <si>
    <t>361,41  2,15711473434237E-19  271,89</t>
  </si>
  <si>
    <t>345,52  5,10431021695554E-18  256</t>
  </si>
  <si>
    <t>330,33  9,76198357734845E-17  240,81</t>
  </si>
  <si>
    <t>315,8  1,55090992302051E-15  226,28</t>
  </si>
  <si>
    <t>301,92  2,08786574275556E-14  212,39</t>
  </si>
  <si>
    <t>288,64  2,41757435791019E-13  199,12</t>
  </si>
  <si>
    <t>275,95  2,43588570923714E-12  186,43</t>
  </si>
  <si>
    <t>263,82  2,15541619214502E-11  174,29</t>
  </si>
  <si>
    <t>252,22  1,68743989479011E-10  162,69</t>
  </si>
  <si>
    <t>241,13  1,17594128835533E-09  151,6</t>
  </si>
  <si>
    <t>230,52  7,33129152463715E-09  141</t>
  </si>
  <si>
    <t>220,39  4,10604350389282E-08  130,86</t>
  </si>
  <si>
    <t>210,7  2,07313663121797E-07  121,17</t>
  </si>
  <si>
    <t>201,43  9,46371272351972E-07  111,91</t>
  </si>
  <si>
    <t>192,57  3,91550314274225E-06  103,05</t>
  </si>
  <si>
    <t>184,11  1,47128276597409E-05  94,58</t>
  </si>
  <si>
    <t>176,01  5,02955645250721E-05  86,49</t>
  </si>
  <si>
    <t>168,27  0,000156640273617267  78,75</t>
  </si>
  <si>
    <t>160,87  0,000444961467307542  71,35</t>
  </si>
  <si>
    <t>153,8  0,00115397332587795  64,28</t>
  </si>
  <si>
    <t>147,04  0,00273432058781536  57,51</t>
  </si>
  <si>
    <t>140,57  0,00592294184650857  51,05</t>
  </si>
  <si>
    <t>134,39  0,0117341878931568  44,87</t>
  </si>
  <si>
    <t>128,48  0,0212686149403542  38,96</t>
  </si>
  <si>
    <t>122,83  0,0352628054756062  33,31</t>
  </si>
  <si>
    <t>117,43  0,0533380312793713  27,92</t>
  </si>
  <si>
    <t>112,27  0,0732978574246774  22,79</t>
  </si>
  <si>
    <t>107,33  0,0926221466530479  17,95</t>
  </si>
  <si>
    <t>102,61  0,111211179796361  13,49</t>
  </si>
  <si>
    <t>98,1  0,123161440119378  9,53</t>
  </si>
  <si>
    <t>93,78  0,115973342361334  6,23</t>
  </si>
  <si>
    <t>89,66  0,100761552857057  3,7</t>
  </si>
  <si>
    <t>85,72  0,0832893235490768  1,97</t>
  </si>
  <si>
    <t>81,95  0,0634160616485585  0,93</t>
  </si>
  <si>
    <t>78,35  0,0439627512636865  0,38</t>
  </si>
  <si>
    <t>74,9  0,0278813679954209  0,13</t>
  </si>
  <si>
    <t>71,61  0,0162287689845345  0,04</t>
  </si>
  <si>
    <t>68,46  0,00867568840081327  0,01</t>
  </si>
  <si>
    <t>65,45  0,00426014922196979  0</t>
  </si>
  <si>
    <t>62,57  0,00192137803598517  0</t>
  </si>
  <si>
    <t>59,82  0,000795673007305533  0</t>
  </si>
  <si>
    <t>57,19  0,000302530124380839  0</t>
  </si>
  <si>
    <t>54,67  0,0001055975021649  0</t>
  </si>
  <si>
    <t>52,27  3,34563509060126E-05  0</t>
  </si>
  <si>
    <t>49,97  9,62121578747105E-06  0</t>
  </si>
  <si>
    <t>47,77  2,61643719039816E-06  0</t>
  </si>
  <si>
    <t>45,67  6,85572862985749E-07  0</t>
  </si>
  <si>
    <t>43,67  1,64385211662157E-07  0</t>
  </si>
  <si>
    <t>41,75  3,47373582586361E-08  0</t>
  </si>
  <si>
    <t>39,91  6,57895555411057E-09  0</t>
  </si>
  <si>
    <t>38,15  1,13736924522686E-09  0</t>
  </si>
  <si>
    <t>36,48  1,78907645007964E-10  0</t>
  </si>
  <si>
    <t>34,87  2,54791717686116E-11  0</t>
  </si>
  <si>
    <t>33,34  3,26261369662561E-12  0</t>
  </si>
  <si>
    <t>31,87  3,72260086908736E-13  0</t>
  </si>
  <si>
    <t>30,47  3,74205452176056E-14  0</t>
  </si>
  <si>
    <t>29,13  3,26811834721553E-15  0</t>
  </si>
  <si>
    <t>27,85  2,43700808325841E-16  0</t>
  </si>
  <si>
    <t>26,63  1,51691099634191E-17  0</t>
  </si>
  <si>
    <t>25,46  7,71622646670011E-19  0</t>
  </si>
  <si>
    <t>24,34  3,48054807856815E-20  0</t>
  </si>
  <si>
    <t>23,27  2,01683998614915E-21  0</t>
  </si>
  <si>
    <t>22,24  1,20180685690374E-22  0</t>
  </si>
  <si>
    <t>21,27  2,14458056943363E-24  0</t>
  </si>
  <si>
    <t>20,33  2,00466741117382E-26  0</t>
  </si>
  <si>
    <t>432,78  4,33966203373981E-25  343,23</t>
  </si>
  <si>
    <t>413,75  2,89270267881518E-23  324,2</t>
  </si>
  <si>
    <t>395,56  1,25047806547178E-21  306</t>
  </si>
  <si>
    <t>378,16  3,94139138126389E-20  288,61</t>
  </si>
  <si>
    <t>361,53  9,65534840681316E-19  271,98</t>
  </si>
  <si>
    <t>345,64  1,91366301601831E-17  256,08</t>
  </si>
  <si>
    <t>330,44  3,15407720811988E-16  240,89</t>
  </si>
  <si>
    <t>315,91  4,40990534867066E-15  226,36</t>
  </si>
  <si>
    <t>302,02  5,30947598493391E-14  212,47</t>
  </si>
  <si>
    <t>288,74  5,56929711293195E-13  199,18</t>
  </si>
  <si>
    <t>276,04  5,13683930529466E-12  186,49</t>
  </si>
  <si>
    <t>263,9  4,1974751448167E-11  174,35</t>
  </si>
  <si>
    <t>252,3  3,05730469854232E-10  162,75</t>
  </si>
  <si>
    <t>241,21  1,99503485736829E-09  151,65</t>
  </si>
  <si>
    <t>230,6  1,17127846480898E-08  141,05</t>
  </si>
  <si>
    <t>220,46  6,20879837294667E-08  130,91</t>
  </si>
  <si>
    <t>210,77  2,98049194370943E-07  121,21</t>
  </si>
  <si>
    <t>201,5  1,29895013838221E-06  111,94</t>
  </si>
  <si>
    <t>192,64  5,15038702941649E-06  103,08</t>
  </si>
  <si>
    <t>184,17  1,86123712644051E-05  94,61</t>
  </si>
  <si>
    <t>176,07  6,1393578088299E-05  86,52</t>
  </si>
  <si>
    <t>168,33  0,000185071143736647  78,77</t>
  </si>
  <si>
    <t>160,93  0,000510373903634728  71,37</t>
  </si>
  <si>
    <t>153,85  0,00128862984276239  64,3</t>
  </si>
  <si>
    <t>147,08  0,0029808577003777  57,53</t>
  </si>
  <si>
    <t>140,62  0,00632045605393433  51,06</t>
  </si>
  <si>
    <t>134,43  0,0122890291409927  44,88</t>
  </si>
  <si>
    <t>128,52  0,0219142207804973  38,97</t>
  </si>
  <si>
    <t>122,87  0,035814674715369  33,32</t>
  </si>
  <si>
    <t>117,47  0,0535071294927682  27,92</t>
  </si>
  <si>
    <t>112,3  0,0730484336080246  22,79</t>
  </si>
  <si>
    <t>107,36  0,0923614060035107  17,94</t>
  </si>
  <si>
    <t>102,64  0,110008064556829  13,45</t>
  </si>
  <si>
    <t>98,13  0,120000551068638  9,45</t>
  </si>
  <si>
    <t>93,82  0,114738225314541  6,12</t>
  </si>
  <si>
    <t>89,69  0,100510969559942  3,59</t>
  </si>
  <si>
    <t>85,75  0,0830328599390832  1,87</t>
  </si>
  <si>
    <t>81,98  0,0636302342218446  0,85</t>
  </si>
  <si>
    <t>78,37  0,044647759637311  0,33</t>
  </si>
  <si>
    <t>74,93  0,0287111545061618  0,11</t>
  </si>
  <si>
    <t>71,63  0,0169729887932407  0,03</t>
  </si>
  <si>
    <t>68,48  0,00923519172637339  0,01</t>
  </si>
  <si>
    <t>65,47  0,00462617790833919  0</t>
  </si>
  <si>
    <t>62,59  0,00213340478459104  0</t>
  </si>
  <si>
    <t>59,84  0,000905542773684739  0</t>
  </si>
  <si>
    <t>57,21  0,000353727902453688  0</t>
  </si>
  <si>
    <t>54,69  0,000127086858612824  0</t>
  </si>
  <si>
    <t>52,29  4,17445458628148E-05  0</t>
  </si>
  <si>
    <t>49,99  1,24993186719758E-05  0</t>
  </si>
  <si>
    <t>47,79  3,48277449880529E-06  0</t>
  </si>
  <si>
    <t>45,69  9,26153141984519E-07  0</t>
  </si>
  <si>
    <t>43,68  2,31095145617991E-07  0</t>
  </si>
  <si>
    <t>41,76  5,19887481103175E-08  0</t>
  </si>
  <si>
    <t>39,92  1,04340481291439E-08  0</t>
  </si>
  <si>
    <t>38,17  1,89731280640773E-09  0</t>
  </si>
  <si>
    <t>36,49  3,15232488800108E-10  0</t>
  </si>
  <si>
    <t>34,88  4,76780774669944E-11  0</t>
  </si>
  <si>
    <t>33,35  6,52947053636035E-12  0</t>
  </si>
  <si>
    <t>31,88  8,03888595007264E-13  0</t>
  </si>
  <si>
    <t>30,48  8,81681214611955E-14  0</t>
  </si>
  <si>
    <t>29,14  8,51788141206485E-15  0</t>
  </si>
  <si>
    <t>27,86  7,14910738872905E-16  0</t>
  </si>
  <si>
    <t>26,64  5,12356937895579E-17  0</t>
  </si>
  <si>
    <t>25,46  3,07114518732162E-18  0</t>
  </si>
  <si>
    <t>24,34  1,53277448076934E-19  0</t>
  </si>
  <si>
    <t>23,27  7,21863842938938E-21  0</t>
  </si>
  <si>
    <t>22,25  4,19742393583568E-22  0</t>
  </si>
  <si>
    <t>21,27  2,16256835671431E-23  0</t>
  </si>
  <si>
    <t>20,34  3,7360822779116E-25  0</t>
  </si>
  <si>
    <t>19,44  3,36650451413257E-27  0</t>
  </si>
  <si>
    <t>452,83  7,18005920187102E-26  363,25</t>
  </si>
  <si>
    <t>432,92  4,93615436723365E-24  343,34</t>
  </si>
  <si>
    <t>413,89  2,20260935716789E-22  324,3</t>
  </si>
  <si>
    <t>395,69  7,17244181104674E-21  306,1</t>
  </si>
  <si>
    <t>378,29  1,81692824533752E-19  288,71</t>
  </si>
  <si>
    <t>361,65  3,72736013830842E-18  272,07</t>
  </si>
  <si>
    <t>345,75  6,36511361724863E-17  256,17</t>
  </si>
  <si>
    <t>330,55  9,23021585281971E-16  240,97</t>
  </si>
  <si>
    <t>316,01  1,15386092897272E-14  226,43</t>
  </si>
  <si>
    <t>302,12  1,25809167022101E-13  212,54</t>
  </si>
  <si>
    <t>288,83  1,2076191115721E-12  199,25</t>
  </si>
  <si>
    <t>276,13  1,02820112145529E-11  186,55</t>
  </si>
  <si>
    <t>263,99  7,81341652518727E-11  174,41</t>
  </si>
  <si>
    <t>252,38  5,32653289672492E-10  162,8</t>
  </si>
  <si>
    <t>241,29  3,27151973781905E-09  151,7</t>
  </si>
  <si>
    <t>230,68  1,81685403860597E-08  141,09</t>
  </si>
  <si>
    <t>220,53  9,15116545491367E-08  130,95</t>
  </si>
  <si>
    <t>210,84  4,19117128060483E-07  121,25</t>
  </si>
  <si>
    <t>201,56  1,74921000578575E-06  111,98</t>
  </si>
  <si>
    <t>192,7  6,66491105799122E-06  103,12</t>
  </si>
  <si>
    <t>184,23  2,32201371403855E-05  94,65</t>
  </si>
  <si>
    <t>176,13  7,40655021332831E-05  86,54</t>
  </si>
  <si>
    <t>168,38  0,000216528604579506  78,8</t>
  </si>
  <si>
    <t>160,98  0,000580692973280332  71,4</t>
  </si>
  <si>
    <t>153,9  0,00142962029331066  64,32</t>
  </si>
  <si>
    <t>147,13  0,00323284556042034  57,55</t>
  </si>
  <si>
    <t>140,66  0,0067178748816244  51,08</t>
  </si>
  <si>
    <t>134,48  0,0128320221047045  44,9</t>
  </si>
  <si>
    <t>128,57  0,0225295349004843  38,98</t>
  </si>
  <si>
    <t>122,91  0,0363208319337721  33,33</t>
  </si>
  <si>
    <t>117,51  0,0536733144059918  27,93</t>
  </si>
  <si>
    <t>112,34  0,0728674766782312  22,78</t>
  </si>
  <si>
    <t>107,4  0,0919512684941658  17,92</t>
  </si>
  <si>
    <t>102,68  0,108648886709292  13,4</t>
  </si>
  <si>
    <t>98,16  0,11747761831254  9,38</t>
  </si>
  <si>
    <t>93,85  0,113337772929509  6,01</t>
  </si>
  <si>
    <t>89,72  0,100094106164221  3,46</t>
  </si>
  <si>
    <t>85,77  0,0828529440156456  1,76</t>
  </si>
  <si>
    <t>82  0,0638409635333536  0,77</t>
  </si>
  <si>
    <t>78,4  0,0452769429829079  0,29</t>
  </si>
  <si>
    <t>74,95  0,0295028902922182  0,09</t>
  </si>
  <si>
    <t>71,65  0,0177019220486749  0,02</t>
  </si>
  <si>
    <t>68,5  0,00979465293693545  0,01</t>
  </si>
  <si>
    <t>65,49  0,00499997257013275  0</t>
  </si>
  <si>
    <t>62,61  0,0023548923845645  0</t>
  </si>
  <si>
    <t>59,86  0,00102314836989267  0</t>
  </si>
  <si>
    <t>57,23  0,000410009003753643  0</t>
  </si>
  <si>
    <t>54,71  0,00015144581513264  0</t>
  </si>
  <si>
    <t>52,3  5,13810706072178E-05  0</t>
  </si>
  <si>
    <t>50  1,59629692467787E-05  0</t>
  </si>
  <si>
    <t>47,81  4,58648958842381E-06  0</t>
  </si>
  <si>
    <t>45,7  1,24390415918832E-06  0</t>
  </si>
  <si>
    <t>43,69  3,1906318201735E-07  0</t>
  </si>
  <si>
    <t>41,77  7,53951127857045E-08  0</t>
  </si>
  <si>
    <t>39,94  1,60419021710682E-08  0</t>
  </si>
  <si>
    <t>38,18  3,07691362895228E-09  0</t>
  </si>
  <si>
    <t>36,5  5,37960883977343E-10  0</t>
  </si>
  <si>
    <t>34,9  8,60030084921036E-11  0</t>
  </si>
  <si>
    <t>33,36  1,25204559933815E-11  0</t>
  </si>
  <si>
    <t>31,89  1,65049633944473E-12  0</t>
  </si>
  <si>
    <t>30,49  1,95573666551398E-13  0</t>
  </si>
  <si>
    <t>29,15  2,06410511364257E-14  0</t>
  </si>
  <si>
    <t>27,87  1,91873711088001E-15  0</t>
  </si>
  <si>
    <t>26,64  1,54956074798037E-16  0</t>
  </si>
  <si>
    <t>25,47  1,0691116825532E-17  0</t>
  </si>
  <si>
    <t>24,35  6,19835060032505E-19  0</t>
  </si>
  <si>
    <t>23,28  3,06552228583186E-20  0</t>
  </si>
  <si>
    <t>22,26  1,49758631444532E-21  0</t>
  </si>
  <si>
    <t>21,28  8,50707437086125E-23  0</t>
  </si>
  <si>
    <t>20,34  3,88309781833788E-24  0</t>
  </si>
  <si>
    <t>19,45  6,50019367972822E-26  0</t>
  </si>
  <si>
    <t>18,59  5,65348275754201E-28  0</t>
  </si>
  <si>
    <t>473,82  1,1869121867509E-26  384,21</t>
  </si>
  <si>
    <t>452,98  8,40795624446055E-25  363,37</t>
  </si>
  <si>
    <t>433,07  3,86894536256259E-23  343,45</t>
  </si>
  <si>
    <t>414,02  1,30026667656362E-21  324,41</t>
  </si>
  <si>
    <t>395,82  3,40240184222912E-20  306,21</t>
  </si>
  <si>
    <t>378,41  7,2163851093634E-19  288,8</t>
  </si>
  <si>
    <t>361,77  1,27526290068572E-17  272,16</t>
  </si>
  <si>
    <t>345,87  1,91559035794271E-16  256,25</t>
  </si>
  <si>
    <t>330,66  2,48302703899191E-15  241,05</t>
  </si>
  <si>
    <t>316,12  2,81019264402729E-14  226,51</t>
  </si>
  <si>
    <t>302,22  2,80302878057035E-13  212,61</t>
  </si>
  <si>
    <t>288,93  2,48283209262765E-12  199,32</t>
  </si>
  <si>
    <t>276,22  1,96517164356056E-11  186,61</t>
  </si>
  <si>
    <t>264,08  1,39712135653889E-10  174,47</t>
  </si>
  <si>
    <t>252,47  8,9604675593577E-10  162,85</t>
  </si>
  <si>
    <t>241,37  5,20327512774792E-09  151,75</t>
  </si>
  <si>
    <t>230,75  2,74420006329757E-08  141,14</t>
  </si>
  <si>
    <t>220,61  1,31791645332552E-07  130,99</t>
  </si>
  <si>
    <t>210,91  5,77646384551767E-07  121,29</t>
  </si>
  <si>
    <t>201,63  2,31505416564937E-06  112,02</t>
  </si>
  <si>
    <t>192,77  8,49732667435849E-06  103,15</t>
  </si>
  <si>
    <t>184,29  2,86031374770148E-05  94,68</t>
  </si>
  <si>
    <t>176,19  8,83991851800196E-05  86,57</t>
  </si>
  <si>
    <t>168,44  0,000251070541760175  78,83</t>
  </si>
  <si>
    <t>161,03  0,000655832106148276  71,42</t>
  </si>
  <si>
    <t>153,95  0,00157656319154741  64,34</t>
  </si>
  <si>
    <t>147,18  0,00348954205894595  57,57</t>
  </si>
  <si>
    <t>140,71  0,00711424279164266  51,1</t>
  </si>
  <si>
    <t>134,52  0,0133621794126342  44,91</t>
  </si>
  <si>
    <t>128,61  0,0231151788532278  39</t>
  </si>
  <si>
    <t>122,95  0,0367907380066544  33,34</t>
  </si>
  <si>
    <t>117,55  0,0538408587080458  27,94</t>
  </si>
  <si>
    <t>112,38  0,0727080217088323  22,78</t>
  </si>
  <si>
    <t>107,44  0,0914272505275854  17,9</t>
  </si>
  <si>
    <t>102,71  0,107262244625296  13,36</t>
  </si>
  <si>
    <t>98,2  0,115330331923336  9,3</t>
  </si>
  <si>
    <t>93,88  0,111906732955742  5,9</t>
  </si>
  <si>
    <t>89,75  0,0995501070937428  3,34</t>
  </si>
  <si>
    <t>85,8  0,0826959544331677  1,65</t>
  </si>
  <si>
    <t>82,03  0,0640532728863772  0,7</t>
  </si>
  <si>
    <t>78,42  0,0458619515916163  0,25</t>
  </si>
  <si>
    <t>74,98  0,0302572452216482  0,07</t>
  </si>
  <si>
    <t>71,68  0,0184141933678662  0,02</t>
  </si>
  <si>
    <t>68,53  0,0103527655647879  0</t>
  </si>
  <si>
    <t>65,51  0,00538049407951328  0</t>
  </si>
  <si>
    <t>62,63  0,00258527925921647  0</t>
  </si>
  <si>
    <t>59,88  0,00114835362714022  0</t>
  </si>
  <si>
    <t>57,25  0,000471463461396264  0</t>
  </si>
  <si>
    <t>54,73  0,000178801891121233  0</t>
  </si>
  <si>
    <t>52,32  6,24989331754946E-05  0</t>
  </si>
  <si>
    <t>50,02  2,00843656973038E-05  0</t>
  </si>
  <si>
    <t>47,82  5,96033070107973E-06  0</t>
  </si>
  <si>
    <t>45,72  1,65675329518292E-06  0</t>
  </si>
  <si>
    <t>43,71  4,35254122747367E-07  0</t>
  </si>
  <si>
    <t>41,79  1,06785999514008E-07  0</t>
  </si>
  <si>
    <t>39,95  2,3927767382187E-08  0</t>
  </si>
  <si>
    <t>38,19  4,8465407640966E-09  0</t>
  </si>
  <si>
    <t>36,51  8,9177424290721E-10  0</t>
  </si>
  <si>
    <t>34,91  1,50104241417293E-10  0</t>
  </si>
  <si>
    <t>33,37  2,31154633502207E-11  0</t>
  </si>
  <si>
    <t>31,91  3,24233830482372E-12  0</t>
  </si>
  <si>
    <t>30,5  4,11818396601871E-13  0</t>
  </si>
  <si>
    <t>29,16  4,70122163153413E-14  0</t>
  </si>
  <si>
    <t>27,88  4,77966409329517E-15  0</t>
  </si>
  <si>
    <t>26,65  4,27992077688132E-16  0</t>
  </si>
  <si>
    <t>25,48  3,33010754110094E-17  0</t>
  </si>
  <si>
    <t>24,36  2,21654657570737E-18  0</t>
  </si>
  <si>
    <t>23,29  1,24916917800411E-19  0</t>
  </si>
  <si>
    <t>22,27  6,16734697219187E-21  0</t>
  </si>
  <si>
    <t>21,29  3,09244572953833E-22  0</t>
  </si>
  <si>
    <t>20,35  1,69042170190903E-23  0</t>
  </si>
  <si>
    <t>19,46  6,95842217366061E-25  0</t>
  </si>
  <si>
    <t>18,6  1,12956323158329E-26  0</t>
  </si>
  <si>
    <t>17,78  9,49408122153072E-29  0</t>
  </si>
  <si>
    <t>495,78  1,96042059437582E-27  406,13</t>
  </si>
  <si>
    <t>473,98  1,42972968271575E-25  384,33</t>
  </si>
  <si>
    <t>453,14  6,77815684735364E-24  363,49</t>
  </si>
  <si>
    <t>433,21  2,3487841137591E-22  343,57</t>
  </si>
  <si>
    <t>414,16  6,3421726630588E-21  324,52</t>
  </si>
  <si>
    <t>395,95  1,38924454928534E-19  306,31</t>
  </si>
  <si>
    <t>378,54  2,53772906788285E-18  288,9</t>
  </si>
  <si>
    <t>361,89  3,94394213000787E-17  272,25</t>
  </si>
  <si>
    <t>345,98  5,29424464177644E-16  256,34</t>
  </si>
  <si>
    <t>330,77  6,21130284540666E-15  241,13</t>
  </si>
  <si>
    <t>316,22  6,42902796040033E-14  226,58</t>
  </si>
  <si>
    <t>302,32  5,91563880062688E-13  212,68</t>
  </si>
  <si>
    <t>289,03  4,86940190302399E-12  199,38</t>
  </si>
  <si>
    <t>276,32  3,60440734197691E-11  186,67</t>
  </si>
  <si>
    <t>264,17  2,40978786089646E-10  174,52</t>
  </si>
  <si>
    <t>252,55  1,46055434114933E-09  162,91</t>
  </si>
  <si>
    <t>241,45  8,05035394100075E-09  151,8</t>
  </si>
  <si>
    <t>230,83  4,04606126423791E-08  141,19</t>
  </si>
  <si>
    <t>220,68  1,85849412298405E-07  131,04</t>
  </si>
  <si>
    <t>210,98  7,817116649839E-07  121,33</t>
  </si>
  <si>
    <t>201,7  3,01584340989074E-06  112,06</t>
  </si>
  <si>
    <t>192,83  1,06870857009049E-05  103,19</t>
  </si>
  <si>
    <t>184,35  3,48268998293714E-05  94,71</t>
  </si>
  <si>
    <t>176,24  0,000104474166118618  86,6</t>
  </si>
  <si>
    <t>168,49  0,000288736680438117  78,85</t>
  </si>
  <si>
    <t>161,09  0,000735681642608597  71,44</t>
  </si>
  <si>
    <t>154  0,00172906868002062  64,36</t>
  </si>
  <si>
    <t>147,23  0,00375023138176657  57,59</t>
  </si>
  <si>
    <t>140,76  0,00750863497701317  51,11</t>
  </si>
  <si>
    <t>134,57  0,0138787773503561  44,93</t>
  </si>
  <si>
    <t>128,65  0,0236729231443824  39,01</t>
  </si>
  <si>
    <t>122,99  0,0372315364346149  33,35</t>
  </si>
  <si>
    <t>117,59  0,0540066802075498  27,95</t>
  </si>
  <si>
    <t>112,41  0,07254495057413  22,79</t>
  </si>
  <si>
    <t>107,47  0,0908259613635046  17,89</t>
  </si>
  <si>
    <t>102,75  0,105898345161346  13,32</t>
  </si>
  <si>
    <t>98,23  0,113425775729127  9,22</t>
  </si>
  <si>
    <t>93,91  0,110497824907334  5,78</t>
  </si>
  <si>
    <t>89,78  0,0989192783011712  3,21</t>
  </si>
  <si>
    <t>85,83  0,0825332636515059  1,53</t>
  </si>
  <si>
    <t>82,06  0,0642634011502113  0,62</t>
  </si>
  <si>
    <t>78,45  0,0464115599661495  0,21</t>
  </si>
  <si>
    <t>75  0,0309764047783117  0,06</t>
  </si>
  <si>
    <t>71,7  0,0191087818979177  0,01</t>
  </si>
  <si>
    <t>68,55  0,0109082544902127  0</t>
  </si>
  <si>
    <t>65,54  0,00576673508374813  0</t>
  </si>
  <si>
    <t>62,65  0,00282399193393657  0</t>
  </si>
  <si>
    <t>59,9  0,00128098725297602  0</t>
  </si>
  <si>
    <t>57,26  0,000538149340046857  0</t>
  </si>
  <si>
    <t>54,75  0,000209277191975549  0</t>
  </si>
  <si>
    <t>52,34  7,52204569155248E-05  0</t>
  </si>
  <si>
    <t>50,04  2,49395845585708E-05  0</t>
  </si>
  <si>
    <t>47,84  7,64129156354954E-06  0</t>
  </si>
  <si>
    <t>45,73  2,18335681551366E-06  0</t>
  </si>
  <si>
    <t>43,72  5,87649291727464E-07  0</t>
  </si>
  <si>
    <t>41,8  1,48643932169711E-07  0</t>
  </si>
  <si>
    <t>39,96  3,47789527303402E-08  0</t>
  </si>
  <si>
    <t>38,21  7,41598051917229E-09  0</t>
  </si>
  <si>
    <t>36,53  1,43683690515873E-09  0</t>
  </si>
  <si>
    <t>34,92  2,54267420154644E-10  0</t>
  </si>
  <si>
    <t>33,38  4,12504992068851E-11  0</t>
  </si>
  <si>
    <t>31,92  6,12526090222577E-12  0</t>
  </si>
  <si>
    <t>30,51  8,28587717658679E-13  0</t>
  </si>
  <si>
    <t>29,17  1,01494933285299E-13  0</t>
  </si>
  <si>
    <t>27,89  1,11732599962645E-14  0</t>
  </si>
  <si>
    <t>26,66  1,09541554111338E-15  0</t>
  </si>
  <si>
    <t>25,49  9,45922541405417E-17  0</t>
  </si>
  <si>
    <t>24,37  7,10086553804484E-18  0</t>
  </si>
  <si>
    <t>23,3  4,57106098651675E-19  0</t>
  </si>
  <si>
    <t>22,27  2,51688438053243E-20  0</t>
  </si>
  <si>
    <t>21,29  1,2460801879445E-21  0</t>
  </si>
  <si>
    <t>20,36  6,33956642361938E-23  0</t>
  </si>
  <si>
    <t>19,46  3,3078650947391E-24  0</t>
  </si>
  <si>
    <t>18,61  1,24455551967554E-25  0</t>
  </si>
  <si>
    <t>17,79  1,96066745308337E-27  0</t>
  </si>
  <si>
    <t>17,01  1,59437256832095E-29  0</t>
  </si>
  <si>
    <t>518,75  3,23548871590472E-28  429,08</t>
  </si>
  <si>
    <t>495,94  2,42728314358867E-26  406,27</t>
  </si>
  <si>
    <t>474,13  1,18456464660128E-24  384,46</t>
  </si>
  <si>
    <t>453,29  4,22851646481164E-23  363,61</t>
  </si>
  <si>
    <t>433,35  1,1770929906406E-21  343,68</t>
  </si>
  <si>
    <t>414,3  2,66025122384874E-20  324,63</t>
  </si>
  <si>
    <t>396,08  5,017852433038E-19  306,41</t>
  </si>
  <si>
    <t>378,67  8,05942100715665E-18  288,99</t>
  </si>
  <si>
    <t>362,01  1,11909024532667E-16  272,34</t>
  </si>
  <si>
    <t>346,1  1,35935975338387E-15  256,42</t>
  </si>
  <si>
    <t>330,88  1,45816499522567E-14  241,21</t>
  </si>
  <si>
    <t>316,33  1,39190153181602E-13  226,66</t>
  </si>
  <si>
    <t>302,42  1,18981985032778E-12  212,75</t>
  </si>
  <si>
    <t>289,12  9,15607386374725E-12  199,45</t>
  </si>
  <si>
    <t>276,41  6,3710878178626E-11  186,74</t>
  </si>
  <si>
    <t>264,25  4,0236510081826E-10  174,58</t>
  </si>
  <si>
    <t>252,63  2,3137329517991E-09  162,96</t>
  </si>
  <si>
    <t>241,53  1,21471428540898E-08  151,85</t>
  </si>
  <si>
    <t>230,91  5,83598821409258E-08  141,23</t>
  </si>
  <si>
    <t>220,75  2,57098899632604E-07  131,08</t>
  </si>
  <si>
    <t>211,05  1,0403342399827E-06  121,37</t>
  </si>
  <si>
    <t>201,77  3,8722688153436E-06  112,09</t>
  </si>
  <si>
    <t>192,89  1,32744524403757E-05  103,22</t>
  </si>
  <si>
    <t>184,41  4,19548222745433E-05  94,74</t>
  </si>
  <si>
    <t>176,3  0,000122361238813124  86,63</t>
  </si>
  <si>
    <t>168,55  0,000329549448240399  78,88</t>
  </si>
  <si>
    <t>161,14  0,000820112024224713  71,47</t>
  </si>
  <si>
    <t>154,05  0,00188674162378852  64,38</t>
  </si>
  <si>
    <t>147,28  0,00401421890009957  57,61</t>
  </si>
  <si>
    <t>140,8  0,0079001940128262  51,13</t>
  </si>
  <si>
    <t>134,61  0,01438145887794  44,94</t>
  </si>
  <si>
    <t>128,69  0,0242049820461054  39,02</t>
  </si>
  <si>
    <t>123,03  0,0376478266883861  33,36</t>
  </si>
  <si>
    <t>117,62  0,0541658760994714  27,95</t>
  </si>
  <si>
    <t>112,45  0,0723667559883158  22,79</t>
  </si>
  <si>
    <t>107,51  0,0901758272580428  17,88</t>
  </si>
  <si>
    <t>102,78  0,104575711458477  13,28</t>
  </si>
  <si>
    <t>98,26  0,111691589646564  9,14</t>
  </si>
  <si>
    <t>93,94  0,109130600896243  5,66</t>
  </si>
  <si>
    <t>89,81  0,0982329431838176  3,07</t>
  </si>
  <si>
    <t>85,86  0,0823518126388357  1,41</t>
  </si>
  <si>
    <t>82,08  0,0644654238793447  0,54</t>
  </si>
  <si>
    <t>78,48  0,0469313795980823  0,17</t>
  </si>
  <si>
    <t>75,02  0,0316631461875925  0,04</t>
  </si>
  <si>
    <t>71,73  0,0197851644144163  0,01</t>
  </si>
  <si>
    <t>68,57  0,0114599302830877  0</t>
  </si>
  <si>
    <t>65,56  0,00615771292182088  0</t>
  </si>
  <si>
    <t>62,67  0,00307044864148111  0</t>
  </si>
  <si>
    <t>59,92  0,00142084723822789  0</t>
  </si>
  <si>
    <t>57,28  0,00061009646934668  0</t>
  </si>
  <si>
    <t>54,76  0,000242983103511812  0</t>
  </si>
  <si>
    <t>52,36  8,96605036926502E-05  0</t>
  </si>
  <si>
    <t>50,05  3,06061940391428E-05  0</t>
  </si>
  <si>
    <t>47,85  9,66998514656168E-06  0</t>
  </si>
  <si>
    <t>45,75  2,8437366048475E-06  0</t>
  </si>
  <si>
    <t>43,74  7,85139864199028E-07  0</t>
  </si>
  <si>
    <t>41,81  2,04086646343354E-07  0</t>
  </si>
  <si>
    <t>39,98  4,95075777771688E-08  0</t>
  </si>
  <si>
    <t>38,22  1,1051189503818E-08  0</t>
  </si>
  <si>
    <t>36,54  2,25107394349318E-09  0</t>
  </si>
  <si>
    <t>34,93  4,18660576896121E-10  0</t>
  </si>
  <si>
    <t>33,39  7,13838145071036E-11  0</t>
  </si>
  <si>
    <t>31,93  1,1173582963589E-11  0</t>
  </si>
  <si>
    <t>30,52  1,60134157756022E-12  0</t>
  </si>
  <si>
    <t>29,18  2,09096979942781E-13  0</t>
  </si>
  <si>
    <t>27,9  2,47232901253173E-14  0</t>
  </si>
  <si>
    <t>26,67  2,62714019150597E-15  0</t>
  </si>
  <si>
    <t>25,5  2,48617172032956E-16  0</t>
  </si>
  <si>
    <t>24,38  2,07269356095401E-17  0</t>
  </si>
  <si>
    <t>23,3  1,50346756010273E-18  0</t>
  </si>
  <si>
    <t>22,28  9,3864723851452E-20  0</t>
  </si>
  <si>
    <t>21,3  5,07363041506129E-21  0</t>
  </si>
  <si>
    <t>20,36  2,52360763075355E-22  0</t>
  </si>
  <si>
    <t>19,47  1,28875152857787E-23  0</t>
  </si>
  <si>
    <t>18,61  6,39389645757697E-25  0</t>
  </si>
  <si>
    <t>17,79  2,22194164214093E-26  0</t>
  </si>
  <si>
    <t>17,01  3,39967885532548E-28  0</t>
  </si>
  <si>
    <t>16,26  2,67748276773669E-30  0</t>
  </si>
  <si>
    <t>542,79  5,33591314463625E-29  453,09</t>
  </si>
  <si>
    <t>518,92  4,11460202458756E-27  429,22</t>
  </si>
  <si>
    <t>496,11  2,06534682731603E-25  406,4</t>
  </si>
  <si>
    <t>474,29  7,58837475002982E-24  384,59</t>
  </si>
  <si>
    <t>453,44  2,17575308359359E-22  363,73</t>
  </si>
  <si>
    <t>433,5  5,06854752696576E-21  343,8</t>
  </si>
  <si>
    <t>414,44  9,86228671707648E-20  324,73</t>
  </si>
  <si>
    <t>396,21  1,63535737566482E-18  306,51</t>
  </si>
  <si>
    <t>378,79  2,3463196011108E-17  289,09</t>
  </si>
  <si>
    <t>362,13  2,94746229433616E-16  272,43</t>
  </si>
  <si>
    <t>346,21  3,27269717351641E-15  256,51</t>
  </si>
  <si>
    <t>330,99  3,23669620980302E-14  241,29</t>
  </si>
  <si>
    <t>316,43  2,86941820019402E-13  226,73</t>
  </si>
  <si>
    <t>302,52  2,29235853044305E-12  212,82</t>
  </si>
  <si>
    <t>289,22  1,65769956965561E-11  199,52</t>
  </si>
  <si>
    <t>276,5  1,08919918224018E-10  186,8</t>
  </si>
  <si>
    <t>264,34  6,52362041506294E-10  174,64</t>
  </si>
  <si>
    <t>252,72  3,57149509740444E-09  163,02</t>
  </si>
  <si>
    <t>241,61  1,79151964932647E-08  151,9</t>
  </si>
  <si>
    <t>230,98  8,2506581375402E-08  141,28</t>
  </si>
  <si>
    <t>220,83  3,49471676650216E-07  131,12</t>
  </si>
  <si>
    <t>211,12  1,36346729938583E-06  121,41</t>
  </si>
  <si>
    <t>201,83  4,90620417213284E-06  112,13</t>
  </si>
  <si>
    <t>192,96  1,63001183039216E-05  103,26</t>
  </si>
  <si>
    <t>184,47  5,00476053445943E-05  94,77</t>
  </si>
  <si>
    <t>176,36  0,000142122189975728  86,66</t>
  </si>
  <si>
    <t>168,61  0,000373514993880769  78,9</t>
  </si>
  <si>
    <t>161,19  0,000908976578031476  71,49</t>
  </si>
  <si>
    <t>154,1  0,00204918340360477  64,4</t>
  </si>
  <si>
    <t>147,33  0,00428083414339789  57,63</t>
  </si>
  <si>
    <t>140,85  0,00828817014939081  51,15</t>
  </si>
  <si>
    <t>134,66  0,0148701957458233  44,96</t>
  </si>
  <si>
    <t>128,74  0,0247135209629253  39,03</t>
  </si>
  <si>
    <t>123,08  0,0380422821031581  33,37</t>
  </si>
  <si>
    <t>117,66  0,054314078984449  27,96</t>
  </si>
  <si>
    <t>112,49  0,0721694510696572  22,79</t>
  </si>
  <si>
    <t>107,54  0,0894969783595071  17,87</t>
  </si>
  <si>
    <t>102,81  0,103299938506552  13,25</t>
  </si>
  <si>
    <t>98,29  0,110085432328251  9,06</t>
  </si>
  <si>
    <t>93,97  0,10781106778294  5,54</t>
  </si>
  <si>
    <t>89,84  0,0975133227917347  2,92</t>
  </si>
  <si>
    <t>85,89  0,0821471411028969  1,29</t>
  </si>
  <si>
    <t>82,11  0,0646540705771266  0,46</t>
  </si>
  <si>
    <t>78,5  0,0474246296720686  0,13</t>
  </si>
  <si>
    <t>75,05  0,0323201927585616  0,03</t>
  </si>
  <si>
    <t>71,75  0,020443264989749  0,01</t>
  </si>
  <si>
    <t>68,59  0,0120067485880115  0</t>
  </si>
  <si>
    <t>65,58  0,00655247457240376  0</t>
  </si>
  <si>
    <t>62,7  0,00332406126097628  0</t>
  </si>
  <si>
    <t>59,94  0,00156770502118878  0</t>
  </si>
  <si>
    <t>57,3  0,000687308839241164  0</t>
  </si>
  <si>
    <t>54,78  0,000280017873623407  0</t>
  </si>
  <si>
    <t>52,37  0,000105927364167084  0</t>
  </si>
  <si>
    <t>50,07  3,71620920672735E-05  0</t>
  </si>
  <si>
    <t>47,87  1,20899245575354E-05  0</t>
  </si>
  <si>
    <t>45,76  3,65958545259054E-06  0</t>
  </si>
  <si>
    <t>43,75  1,0375593122004E-06  0</t>
  </si>
  <si>
    <t>41,83  2,7684732097702E-07  0</t>
  </si>
  <si>
    <t>39,99  6,92924176641776E-08  0</t>
  </si>
  <si>
    <t>38,23  1,60964483344637E-08  0</t>
  </si>
  <si>
    <t>36,55  3,43471435344136E-09  0</t>
  </si>
  <si>
    <t>34,94  6,70628885085635E-10  0</t>
  </si>
  <si>
    <t>33,41  1,20036459046989E-10  0</t>
  </si>
  <si>
    <t>31,94  1,97480728329504E-11  0</t>
  </si>
  <si>
    <t>30,53  2,98531631200384E-12  0</t>
  </si>
  <si>
    <t>29,19  4,13300217391824E-13  0</t>
  </si>
  <si>
    <t>27,91  5,21382601547629E-14  0</t>
  </si>
  <si>
    <t>26,68  5,95595040146367E-15  0</t>
  </si>
  <si>
    <t>25,51  6,11462878447513E-16  0</t>
  </si>
  <si>
    <t>24,38  5,59109900431909E-17  0</t>
  </si>
  <si>
    <t>23,31  4,50541796995242E-18  0</t>
  </si>
  <si>
    <t>22,29  3,16328681744842E-19  0</t>
  </si>
  <si>
    <t>21,31  1,92105632134352E-20  0</t>
  </si>
  <si>
    <t>20,37  1,02356537710984E-21  0</t>
  </si>
  <si>
    <t>19,47  5,11366277676246E-23  0</t>
  </si>
  <si>
    <t>18,62  2,59717194724031E-24  0</t>
  </si>
  <si>
    <t>17,8  1,22350136890597E-25  0</t>
  </si>
  <si>
    <t>17,02  3,96010464186843E-27  0</t>
  </si>
  <si>
    <t>16,27  5,88899122169997E-29  0</t>
  </si>
  <si>
    <t>15,55  4,49638567168613E-31  0</t>
  </si>
  <si>
    <t>567,94  8,79372079791684E-30  478,21</t>
  </si>
  <si>
    <t>542,97  6,96483750881149E-28  453,24</t>
  </si>
  <si>
    <t>519,1  3,59309330952123E-26  429,36</t>
  </si>
  <si>
    <t>496,27  1,35768892238129E-24  406,54</t>
  </si>
  <si>
    <t>474,45  4,00619178649735E-23  384,72</t>
  </si>
  <si>
    <t>453,59  9,61130424893075E-22  363,86</t>
  </si>
  <si>
    <t>433,64  1,92739636079644E-20  343,91</t>
  </si>
  <si>
    <t>414,57  3,2963322556177E-19  324,84</t>
  </si>
  <si>
    <t>396,34  4,88172692670664E-18  306,61</t>
  </si>
  <si>
    <t>378,92  6,33518044526755E-17  289,19</t>
  </si>
  <si>
    <t>362,26  7,27295926211652E-16  272,52</t>
  </si>
  <si>
    <t>346,33  7,44365621006428E-15  256,59</t>
  </si>
  <si>
    <t>331,1  6,83528139670844E-14  241,37</t>
  </si>
  <si>
    <t>316,54  5,66157941299255E-13  226,81</t>
  </si>
  <si>
    <t>302,62  4,24896699053199E-12  212,89</t>
  </si>
  <si>
    <t>289,31  2,90036964739387E-11  199,58</t>
  </si>
  <si>
    <t>276,59  1,80661574446438E-10  186,86</t>
  </si>
  <si>
    <t>264,43  1,02976400376909E-09  174,7</t>
  </si>
  <si>
    <t>252,8  5,38414284439215E-09  163,07</t>
  </si>
  <si>
    <t>241,69  2,58764957686636E-08  151,95</t>
  </si>
  <si>
    <t>231,06  1,14520524760557E-07  141,33</t>
  </si>
  <si>
    <t>220,9  4,67435363159854E-07  131,17</t>
  </si>
  <si>
    <t>211,19  1,76196664321193E-06  121,45</t>
  </si>
  <si>
    <t>201,9  6,14054255535123E-06  112,17</t>
  </si>
  <si>
    <t>193,02  1,98048270422487E-05  103,29</t>
  </si>
  <si>
    <t>184,53  5,91627637586815E-05  94,8</t>
  </si>
  <si>
    <t>176,42  0,000163809691285754  86,69</t>
  </si>
  <si>
    <t>168,66  0,000420624274173208  78,93</t>
  </si>
  <si>
    <t>161,25  0,0010021138451826  71,51</t>
  </si>
  <si>
    <t>154,16  0,00221599406493496  64,42</t>
  </si>
  <si>
    <t>147,38  0,00454943956581187  57,65</t>
  </si>
  <si>
    <t>140,9  0,0086719427867808  51,17</t>
  </si>
  <si>
    <t>134,7  0,0153451907295832  44,97</t>
  </si>
  <si>
    <t>128,78  0,0252004184595386  39,05</t>
  </si>
  <si>
    <t>123,12  0,0384163603324725  33,38</t>
  </si>
  <si>
    <t>117,7  0,0544481649287982  27,97</t>
  </si>
  <si>
    <t>112,53  0,071952857000794  22,8</t>
  </si>
  <si>
    <t>107,58  0,0888031611575812  17,87</t>
  </si>
  <si>
    <t>102,85  0,102071366100067  13,22</t>
  </si>
  <si>
    <t>98,33  0,108580774793191  8,98</t>
  </si>
  <si>
    <t>94  0,106539716325451  5,41</t>
  </si>
  <si>
    <t>89,87  0,0967756316084613  2,77</t>
  </si>
  <si>
    <t>85,92  0,081919139360275  1,16</t>
  </si>
  <si>
    <t>82,14  0,0648255698173658  0,39</t>
  </si>
  <si>
    <t>78,53  0,047893024060065  0,1</t>
  </si>
  <si>
    <t>75,07  0,0329499016595743  0,02</t>
  </si>
  <si>
    <t>71,77  0,0210833223012584  0</t>
  </si>
  <si>
    <t>68,62  0,0125478423444697  0</t>
  </si>
  <si>
    <t>65,6  0,00695011026055121  0</t>
  </si>
  <si>
    <t>62,72  0,00358423811948187  0</t>
  </si>
  <si>
    <t>59,96  0,0017213089941317  0</t>
  </si>
  <si>
    <t>57,32  0,000769766519527588  0</t>
  </si>
  <si>
    <t>54,8  0,000320465533510313  0</t>
  </si>
  <si>
    <t>52,39  0,000124122762959982  0</t>
  </si>
  <si>
    <t>50,09  4,46847600736872E-05  0</t>
  </si>
  <si>
    <t>47,89  1,494689402992E-05  0</t>
  </si>
  <si>
    <t>45,78  4,65435650458491E-06  0</t>
  </si>
  <si>
    <t>43,77  1,3557532861107E-06  0</t>
  </si>
  <si>
    <t>41,84  3,71273470407133E-07  0</t>
  </si>
  <si>
    <t>40  9,56072397480826E-08  0</t>
  </si>
  <si>
    <t>38,24  2,29969948098747E-08  0</t>
  </si>
  <si>
    <t>36,56  5,11727010172354E-09  0</t>
  </si>
  <si>
    <t>34,95  1,04641384729287E-09  0</t>
  </si>
  <si>
    <t>33,42  1,96398068598831E-10  0</t>
  </si>
  <si>
    <t>31,95  3,38985899448955E-11  0</t>
  </si>
  <si>
    <t>30,54  5,38740693884671E-12  0</t>
  </si>
  <si>
    <t>29,2  7,87243211612977E-13  0</t>
  </si>
  <si>
    <t>27,92  1,05374860884829E-13  0</t>
  </si>
  <si>
    <t>26,69  1,28534466212062E-14  0</t>
  </si>
  <si>
    <t>25,51  1,4197870845792E-15  0</t>
  </si>
  <si>
    <t>24,39  1,4095354731553E-16  0</t>
  </si>
  <si>
    <t>23,32  1,24655720401383E-17  0</t>
  </si>
  <si>
    <t>22,29  9,72114320723348E-19  0</t>
  </si>
  <si>
    <t>21,31  6,61866899365495E-20  0</t>
  </si>
  <si>
    <t>20,38  3,92164578299684E-21  0</t>
  </si>
  <si>
    <t>19,48  2,06646852025755E-22  0</t>
  </si>
  <si>
    <t>18,62  1,03512335961476E-23  0</t>
  </si>
  <si>
    <t>17,81  5,18947771205731E-25  0</t>
  </si>
  <si>
    <t>17,02  2,32153993993878E-26  0</t>
  </si>
  <si>
    <t>16,27  7,04651319381929E-28  0</t>
  </si>
  <si>
    <t>15,56  1,01915186326882E-29  0</t>
  </si>
  <si>
    <t>14,87  7,55092968371866E-32  0</t>
  </si>
  <si>
    <t>594,26  1,4482621979227E-30  504,5</t>
  </si>
  <si>
    <t>568,13  1,17734046926602E-28  478,37</t>
  </si>
  <si>
    <t>543,15  6,23785460044529E-27  453,39</t>
  </si>
  <si>
    <t>519,27  2,42220867676555E-25  429,51</t>
  </si>
  <si>
    <t>496,44  7,34964840902899E-24  406,67</t>
  </si>
  <si>
    <t>474,61  1,8143885024906E-22  384,85</t>
  </si>
  <si>
    <t>453,74  3,74656006968187E-21  363,98</t>
  </si>
  <si>
    <t>433,79  6,60265094489134E-20  344,02</t>
  </si>
  <si>
    <t>414,71  1,00834782566334E-18  324,95</t>
  </si>
  <si>
    <t>396,48  1,35045933760408E-17  306,71</t>
  </si>
  <si>
    <t>379,04  1,60128319789212E-16  289,28</t>
  </si>
  <si>
    <t>362,38  1,69410276343937E-15  272,61</t>
  </si>
  <si>
    <t>346,44  1,60946621721894E-14  256,68</t>
  </si>
  <si>
    <t>331,21  1,38046270868566E-13  241,45</t>
  </si>
  <si>
    <t>316,64  1,0738313212162E-12  226,88</t>
  </si>
  <si>
    <t>302,72  7,60484862923078E-12  212,96</t>
  </si>
  <si>
    <t>289,41  4,91950788889601E-11  199,65</t>
  </si>
  <si>
    <t>276,68  2,91515741193381E-10  186,92</t>
  </si>
  <si>
    <t>264,52  1,58626274530551E-09  174,76</t>
  </si>
  <si>
    <t>252,89  7,94292508646469E-09  163,13</t>
  </si>
  <si>
    <t>241,77  3,66668604408708E-08  152,01</t>
  </si>
  <si>
    <t>231,14  1,56294376301344E-07  141,37</t>
  </si>
  <si>
    <t>220,97  6,16004953741346E-07  131,21</t>
  </si>
  <si>
    <t>211,26  2,2475478560991E-06  121,49</t>
  </si>
  <si>
    <t>201,97  7,59902148932238E-06  112,21</t>
  </si>
  <si>
    <t>193,09  2,38290172456981E-05  103,32</t>
  </si>
  <si>
    <t>184,6  6,93542182861673E-05  94,83</t>
  </si>
  <si>
    <t>176,48  0,00018746731946803  86,72</t>
  </si>
  <si>
    <t>168,72  0,000470854139726282  78,96</t>
  </si>
  <si>
    <t>161,3  0,00109934967224654  71,54</t>
  </si>
  <si>
    <t>154,21  0,00238677555955905  64,45</t>
  </si>
  <si>
    <t>147,43  0,00481944024164464  57,67</t>
  </si>
  <si>
    <t>140,94  0,00905102067142497  51,18</t>
  </si>
  <si>
    <t>134,75  0,0158067773789511  44,99</t>
  </si>
  <si>
    <t>128,82  0,0256672041029217  39,06</t>
  </si>
  <si>
    <t>123,16  0,0387708541454776  33,4</t>
  </si>
  <si>
    <t>117,74  0,0545662522355627  27,98</t>
  </si>
  <si>
    <t>112,56  0,0717185360758292  22,8</t>
  </si>
  <si>
    <t>107,61  0,0881036311869682  17,86</t>
  </si>
  <si>
    <t>102,88  0,10088827170822  13,19</t>
  </si>
  <si>
    <t>98,36  0,107159938216183  8,91</t>
  </si>
  <si>
    <t>94,03  0,105314863647292  5,28</t>
  </si>
  <si>
    <t>89,9  0,096030151233188  2,61</t>
  </si>
  <si>
    <t>85,95  0,0816696832765048  1,03</t>
  </si>
  <si>
    <t>82,17  0,064977645761816  0,31</t>
  </si>
  <si>
    <t>78,55  0,048337458750322  0,07</t>
  </si>
  <si>
    <t>75,1  0,0335541819063866  0,01</t>
  </si>
  <si>
    <t>71,8  0,0217057532663694  0</t>
  </si>
  <si>
    <t>68,64  0,0130825233244207  0</t>
  </si>
  <si>
    <t>65,62  0,00734976845546104  0</t>
  </si>
  <si>
    <t>62,74  0,00385038872127686  0</t>
  </si>
  <si>
    <t>59,98  0,00188138763665269  0</t>
  </si>
  <si>
    <t>57,34  0,000857427364530905  0</t>
  </si>
  <si>
    <t>54,82  0,000364395496450785  0</t>
  </si>
  <si>
    <t>52,41  0,000144341561156709  0</t>
  </si>
  <si>
    <t>50,1  5,32506617740305E-05  0</t>
  </si>
  <si>
    <t>47,9  1,82884155780879E-05  0</t>
  </si>
  <si>
    <t>45,79  5,85322891906658E-06  0</t>
  </si>
  <si>
    <t>43,78  1,75164138537839E-06  0</t>
  </si>
  <si>
    <t>41,86  4,92342485210899E-07  0</t>
  </si>
  <si>
    <t>40,02  1,30243279822985E-07  0</t>
  </si>
  <si>
    <t>38,26  3,2320101632607E-08  0</t>
  </si>
  <si>
    <t>36,57  7,46629955863792E-09  0</t>
  </si>
  <si>
    <t>34,97  1,59357703350909E-09  0</t>
  </si>
  <si>
    <t>33,43  3,13054904488428E-10  0</t>
  </si>
  <si>
    <t>31,96  5,66102237145116E-11  0</t>
  </si>
  <si>
    <t>30,55  9,43683266608208E-12  0</t>
  </si>
  <si>
    <t>29,21  1,45029066606105E-12  0</t>
  </si>
  <si>
    <t>27,93  2,05029052014602E-13  0</t>
  </si>
  <si>
    <t>26,7  2,65552117466267E-14  0</t>
  </si>
  <si>
    <t>25,52  3,13456398324236E-15  0</t>
  </si>
  <si>
    <t>24,4  3,35083686675763E-16  0</t>
  </si>
  <si>
    <t>23,33  3,2197720580784E-17  0</t>
  </si>
  <si>
    <t>22,3  2,75680301093107E-18  0</t>
  </si>
  <si>
    <t>21,32  2,08325530660962E-19  0</t>
  </si>
  <si>
    <t>20,38  1,37815817902594E-20  0</t>
  </si>
  <si>
    <t>19,49  7,99003879230827E-22  0</t>
  </si>
  <si>
    <t>18,63  4,17372442387851E-23  0</t>
  </si>
  <si>
    <t>17,81  2,09052680600114E-24  0</t>
  </si>
  <si>
    <t>17,03  1,02851302893742E-25  0</t>
  </si>
  <si>
    <t>16,28  4,37346110034451E-27  0</t>
  </si>
  <si>
    <t>15,56  1,25190342174267E-28  0</t>
  </si>
  <si>
    <t>14,88  1,76220137253345E-30  0</t>
  </si>
  <si>
    <t>14,23  1,2680526816793E-32  0</t>
  </si>
  <si>
    <t>621,8  2,38367314207071E-31  532,01</t>
  </si>
  <si>
    <t>594,46  1,98760845219525E-29  504,67</t>
  </si>
  <si>
    <t>568,32  1,08078525160348E-27  478,53</t>
  </si>
  <si>
    <t>543,33  4,30969279901533E-26  453,54</t>
  </si>
  <si>
    <t>519,44  1,34368210586815E-24  429,65</t>
  </si>
  <si>
    <t>496,6  3,41059282568454E-23  406,81</t>
  </si>
  <si>
    <t>474,76  7,24580252111501E-22  384,97</t>
  </si>
  <si>
    <t>453,89  1,31468433413227E-20  364,1</t>
  </si>
  <si>
    <t>433,93  2,06856410910066E-19  344,14</t>
  </si>
  <si>
    <t>414,85  2,85636087143712E-18  325,06</t>
  </si>
  <si>
    <t>396,61  3,49463554951854E-17  306,82</t>
  </si>
  <si>
    <t>379,17  3,81783430822333E-16  289,38</t>
  </si>
  <si>
    <t>362,5  3,74849329244897E-15  272,7</t>
  </si>
  <si>
    <t>346,56  3,32555417999017E-14  256,77</t>
  </si>
  <si>
    <t>331,32  2,67805921351615E-13  241,53</t>
  </si>
  <si>
    <t>316,75  1,96523037280154E-12  226,96</t>
  </si>
  <si>
    <t>302,82  1,31853446429214E-11  213,03</t>
  </si>
  <si>
    <t>289,51  8,11150425198698E-11  199,71</t>
  </si>
  <si>
    <t>276,78  4,5869241309469E-10  186,98</t>
  </si>
  <si>
    <t>264,61  2,38938760261861E-09  174,81</t>
  </si>
  <si>
    <t>252,97  1,14870298489642E-08  163,18</t>
  </si>
  <si>
    <t>241,85  5,10492371426845E-08  152,06</t>
  </si>
  <si>
    <t>231,21  2,10011021145215E-07  141,42</t>
  </si>
  <si>
    <t>221,05  8,00746872921245E-07  131,25</t>
  </si>
  <si>
    <t>211,33  2,83273138120179E-06  121,54</t>
  </si>
  <si>
    <t>202,03  9,30604095421112E-06  112,24</t>
  </si>
  <si>
    <t>193,15  2,84124873900221E-05  103,36</t>
  </si>
  <si>
    <t>184,66  8,06719648630127E-05  94,87</t>
  </si>
  <si>
    <t>176,54  0,000213129675543325  86,75</t>
  </si>
  <si>
    <t>168,77  0,000524168403133618  78,98</t>
  </si>
  <si>
    <t>161,35  0,00120049931830877  71,56</t>
  </si>
  <si>
    <t>154,26  0,00256113583016254  64,47</t>
  </si>
  <si>
    <t>147,48  0,00509029095194475  57,68</t>
  </si>
  <si>
    <t>140,99  0,00942502756112886  51,2</t>
  </si>
  <si>
    <t>134,79  0,0162553427511144  45</t>
  </si>
  <si>
    <t>128,86  0,026115088316728  39,07</t>
  </si>
  <si>
    <t>123,2  0,0391062506612695  33,41</t>
  </si>
  <si>
    <t>117,78  0,0546674612691941  27,99</t>
  </si>
  <si>
    <t>112,6  0,0714687073704086  22,81</t>
  </si>
  <si>
    <t>107,65  0,0874045895130517  17,87</t>
  </si>
  <si>
    <t>102,92  0,0997482146155739  13,17</t>
  </si>
  <si>
    <t>98,39  0,105810491499594  8,84</t>
  </si>
  <si>
    <t>94,07  0,104134061504253  5,14</t>
  </si>
  <si>
    <t>89,93  0,0952838044986008  2,44</t>
  </si>
  <si>
    <t>85,97  0,0814013937677997  0,89</t>
  </si>
  <si>
    <t>82,19  0,0651092290153286  0,24</t>
  </si>
  <si>
    <t>78,58  0,0487584597163232  0,05</t>
  </si>
  <si>
    <t>75,12  0,0341345328387442  0,01</t>
  </si>
  <si>
    <t>71,82  0,0223110479454837  0</t>
  </si>
  <si>
    <t>68,66  0,0136102626724633  0</t>
  </si>
  <si>
    <t>65,64  0,00775066695924202  0</t>
  </si>
  <si>
    <t>62,76  0,00412192994533002  0</t>
  </si>
  <si>
    <t>60  0,00204765268765651  0</t>
  </si>
  <si>
    <t>57,36  0,000950228619598997  0</t>
  </si>
  <si>
    <t>54,84  0,000411862526878808  0</t>
  </si>
  <si>
    <t>52,43  0,00016667139262793  0</t>
  </si>
  <si>
    <t>50,12  6,29347038530227E-05  0</t>
  </si>
  <si>
    <t>47,92  2,21632843683154E-05  0</t>
  </si>
  <si>
    <t>45,81  7,28300515485709E-06  0</t>
  </si>
  <si>
    <t>43,8  2,23825536621487E-06  0</t>
  </si>
  <si>
    <t>41,87  6,45686050058032E-07  0</t>
  </si>
  <si>
    <t>40,03  1,75330329133929E-07  0</t>
  </si>
  <si>
    <t>38,27  4,47744119380264E-08  0</t>
  </si>
  <si>
    <t>36,59  1,06972210781109E-08  0</t>
  </si>
  <si>
    <t>34,98  2,3742162225113E-09  0</t>
  </si>
  <si>
    <t>33,44  4,86925288795078E-10  0</t>
  </si>
  <si>
    <t>31,97  9,21021875265473E-11  0</t>
  </si>
  <si>
    <t>30,56  1,60765851543805E-11  0</t>
  </si>
  <si>
    <t>29,22  2,5915716165186E-12  0</t>
  </si>
  <si>
    <t>27,93  3,85496164392872E-13  0</t>
  </si>
  <si>
    <t>26,71  5,27667536095908E-14  0</t>
  </si>
  <si>
    <t>25,53  6,61821722389764E-15  0</t>
  </si>
  <si>
    <t>24,41  7,5658165350538E-16  0</t>
  </si>
  <si>
    <t>23,34  7,83356551095313E-17  0</t>
  </si>
  <si>
    <t>22,31  7,29175840064286E-18  0</t>
  </si>
  <si>
    <t>21,33  6,0506596808018E-19  0</t>
  </si>
  <si>
    <t>20,39  4,4367652389132E-20  0</t>
  </si>
  <si>
    <t>19,49  2,85763284502687E-21  0</t>
  </si>
  <si>
    <t>18,64  1,62542301144098E-22  0</t>
  </si>
  <si>
    <t>17,82  8,4294122550193E-24  0</t>
  </si>
  <si>
    <t>17,03  4,20837724107324E-25  0</t>
  </si>
  <si>
    <t>16,29  2,02291161192333E-26  0</t>
  </si>
  <si>
    <t>15,57  8,18800280510872E-28  0</t>
  </si>
  <si>
    <t>14,88  2,22090148011587E-29  0</t>
  </si>
  <si>
    <t>14,23  3,04447522345329E-31  0</t>
  </si>
  <si>
    <t>13,6  2,12948295225353E-33  0</t>
  </si>
  <si>
    <t>650,62  3,92088888151498E-32  560,8</t>
  </si>
  <si>
    <t>622,01  3,35138897751483E-30  532,19</t>
  </si>
  <si>
    <t>594,66  1,86906202832648E-28  504,84</t>
  </si>
  <si>
    <t>568,51  7,64827451790595E-27  478,69</t>
  </si>
  <si>
    <t>543,51  2,4484871580635E-25  453,69</t>
  </si>
  <si>
    <t>519,61  6,3852175967321E-24  429,79</t>
  </si>
  <si>
    <t>496,77  1,39459043438167E-22  406,94</t>
  </si>
  <si>
    <t>474,92  2,60300898622705E-21  385,1</t>
  </si>
  <si>
    <t>454,04  4,21606160441219E-20  364,22</t>
  </si>
  <si>
    <t>434,07  5,99701510550809E-19  344,25</t>
  </si>
  <si>
    <t>414,99  7,56343853494343E-18  325,17</t>
  </si>
  <si>
    <t>396,74  8,52417347083655E-17  306,92</t>
  </si>
  <si>
    <t>379,29  8,64059956511687E-16  289,47</t>
  </si>
  <si>
    <t>362,62  7,92043876057917E-15  272,8</t>
  </si>
  <si>
    <t>346,67  6,59571628291937E-14  256,85</t>
  </si>
  <si>
    <t>331,43  5,00936959096844E-13  241,61</t>
  </si>
  <si>
    <t>316,85  3,48155479466185E-12  227,03</t>
  </si>
  <si>
    <t>302,92  2,22071612080548E-11  213,1</t>
  </si>
  <si>
    <t>289,6  1,30327066226889E-10  199,78</t>
  </si>
  <si>
    <t>276,87  7,05255845967439E-10  187,05</t>
  </si>
  <si>
    <t>264,69  3,52577725535199E-09  174,87</t>
  </si>
  <si>
    <t>253,05  1,63109068840697E-08  163,23</t>
  </si>
  <si>
    <t>241,93  6,99265857471587E-08  152,11</t>
  </si>
  <si>
    <t>231,29  2,78158113441983E-07  141,47</t>
  </si>
  <si>
    <t>221,12  1,02777579722451E-06  131,3</t>
  </si>
  <si>
    <t>211,4  3,53077709847486E-06  121,58</t>
  </si>
  <si>
    <t>202,1  1,12864781737485E-05  112,28</t>
  </si>
  <si>
    <t>193,21  3,35940872229381E-05  103,39</t>
  </si>
  <si>
    <t>184,72  9,31618152929716E-05  94,9</t>
  </si>
  <si>
    <t>176,6  0,000240822580837896  86,78</t>
  </si>
  <si>
    <t>168,83  0,000580518914601524  79,01</t>
  </si>
  <si>
    <t>161,41  0,00130536970508948  71,59</t>
  </si>
  <si>
    <t>154,31  0,00273869304480953  64,49</t>
  </si>
  <si>
    <t>147,52  0,00536149932776144  57,7</t>
  </si>
  <si>
    <t>141,04  0,00979368138384443  51,22</t>
  </si>
  <si>
    <t>134,84  0,0166912779105563  45,02</t>
  </si>
  <si>
    <t>128,91  0,0265450271281095  39,09</t>
  </si>
  <si>
    <t>123,24  0,0394229390347248  33,42</t>
  </si>
  <si>
    <t>117,82  0,0547516394128892  28</t>
  </si>
  <si>
    <t>112,64  0,0712057088879323  22,82</t>
  </si>
  <si>
    <t>107,69  0,0867101810629217  17,87</t>
  </si>
  <si>
    <t>102,95  0,0986486014032821  13,16</t>
  </si>
  <si>
    <t>98,42  0,104523284001403  8,77</t>
  </si>
  <si>
    <t>94,1  0,10299468971581  4,99</t>
  </si>
  <si>
    <t>89,96  0,0945412498527542  2,25</t>
  </si>
  <si>
    <t>86  0,0811170217095638  0,75</t>
  </si>
  <si>
    <t>82,22  0,0652201260438797  0,18</t>
  </si>
  <si>
    <t>78,61  0,0491564412890274  0,03</t>
  </si>
  <si>
    <t>75,15  0,0346921282969312  0</t>
  </si>
  <si>
    <t>71,85  0,0228997023046893  0</t>
  </si>
  <si>
    <t>68,69  0,0141306619692193  0</t>
  </si>
  <si>
    <t>65,67  0,00815209808023981  0</t>
  </si>
  <si>
    <t>62,78  0,00439829257845361  0</t>
  </si>
  <si>
    <t>60,02  0,00221980257408238  0</t>
  </si>
  <si>
    <t>57,38  0,00104808852761074  0</t>
  </si>
  <si>
    <t>54,86  0,000462906931014501  0</t>
  </si>
  <si>
    <t>52,44  0,000191192328033273  0</t>
  </si>
  <si>
    <t>50,14  7,38097381348265E-05  0</t>
  </si>
  <si>
    <t>47,93  2,6621149652818E-05  0</t>
  </si>
  <si>
    <t>45,83  8,97197010608716E-06  0</t>
  </si>
  <si>
    <t>43,81  2,82975147026016E-06  0</t>
  </si>
  <si>
    <t>41,88  8,37616342574083E-07  0</t>
  </si>
  <si>
    <t>40,04  2,33358099550055E-07  0</t>
  </si>
  <si>
    <t>38,28  6,12280402162774E-08  0</t>
  </si>
  <si>
    <t>36,6  1,50836664177958E-08  0</t>
  </si>
  <si>
    <t>34,99  3,46892330782381E-09  0</t>
  </si>
  <si>
    <t>33,45  7,40475850027881E-10  0</t>
  </si>
  <si>
    <t>31,98  1,46200303990911E-10  0</t>
  </si>
  <si>
    <t>30,57  2,66788109329952E-11  0</t>
  </si>
  <si>
    <t>29,23  4,50197140392125E-12  0</t>
  </si>
  <si>
    <t>27,94  7,02550350002465E-13  0</t>
  </si>
  <si>
    <t>26,72  1,01234004733913E-13  0</t>
  </si>
  <si>
    <t>25,54  1,34270141488362E-14  0</t>
  </si>
  <si>
    <t>24,42  1,63205382630544E-15  0</t>
  </si>
  <si>
    <t>23,34  1,80829727355257E-16  0</t>
  </si>
  <si>
    <t>22,32  1,81488537220788E-17  0</t>
  </si>
  <si>
    <t>21,34  1,63796484521219E-18  0</t>
  </si>
  <si>
    <t>20,4  1,31863187706764E-19  0</t>
  </si>
  <si>
    <t>19,5  9,39585399779478E-21  0</t>
  </si>
  <si>
    <t>18,64  5,90395124665833E-22  0</t>
  </si>
  <si>
    <t>17,82  3,30243322229884E-23  0</t>
  </si>
  <si>
    <t>17,04  1,70142689749165E-24  0</t>
  </si>
  <si>
    <t>16,29  8,43883416717363E-26  0</t>
  </si>
  <si>
    <t>15,57  3,95054707716954E-27  0</t>
  </si>
  <si>
    <t>14,89  1,52466472577873E-28  0</t>
  </si>
  <si>
    <t>14,23  3,93441733181448E-30  0</t>
  </si>
  <si>
    <t>13,61  5,25568681975957E-32  0</t>
  </si>
  <si>
    <t>13,01  3,57611139462394E-34  0</t>
  </si>
  <si>
    <t>680,77  6,445744393045E-33  590,92</t>
  </si>
  <si>
    <t>650,83  5,64429445140659E-31  560,98</t>
  </si>
  <si>
    <t>622,22  3,22647122212287E-29  532,37</t>
  </si>
  <si>
    <t>594,86  1,35399673296485E-27  505,01</t>
  </si>
  <si>
    <t>568,7  4,44775646470738E-26  478,85</t>
  </si>
  <si>
    <t>543,69  1,19084517038774E-24  453,84</t>
  </si>
  <si>
    <t>519,79  2,67189196877589E-23  429,94</t>
  </si>
  <si>
    <t>496,93  5,12632085637671E-22  407,08</t>
  </si>
  <si>
    <t>475,08  8,54023259554515E-21  385,23</t>
  </si>
  <si>
    <t>454,19  1,2503022962213E-19  364,34</t>
  </si>
  <si>
    <t>434,22  1,62409309237994E-18  344,37</t>
  </si>
  <si>
    <t>415,13  1,88651707275212E-17  325,27</t>
  </si>
  <si>
    <t>396,87  1,97235476301261E-16  307,02</t>
  </si>
  <si>
    <t>379,42  1,86616525092803E-15  289,57</t>
  </si>
  <si>
    <t>362,74  1,60531778210547E-14  272,89</t>
  </si>
  <si>
    <t>346,79  1,26046450638576E-13  256,94</t>
  </si>
  <si>
    <t>331,54  9,06424682076343E-13  241,69</t>
  </si>
  <si>
    <t>316,96  5,98738783022475E-12  227,11</t>
  </si>
  <si>
    <t>303,02  3,6421054630088E-11  213,17</t>
  </si>
  <si>
    <t>289,7  2,0447439379823E-10  199,85</t>
  </si>
  <si>
    <t>276,96  1,06153814460905E-09  187,11</t>
  </si>
  <si>
    <t>264,78  5,10475798678265E-09  174,93</t>
  </si>
  <si>
    <t>253,14  2,27718032549074E-08  163,29</t>
  </si>
  <si>
    <t>242,01  9,43540981436079E-08  152,16</t>
  </si>
  <si>
    <t>231,37  3,63539499322625E-07  141,52</t>
  </si>
  <si>
    <t>221,19  1,30374446080251E-06  131,34</t>
  </si>
  <si>
    <t>211,47  4,35561012350795E-06  121,62</t>
  </si>
  <si>
    <t>202,17  1,35655027078403E-05  112,32</t>
  </si>
  <si>
    <t>193,28  3,94114377912175E-05  103,43</t>
  </si>
  <si>
    <t>184,78  0,000106865202766732  94,93</t>
  </si>
  <si>
    <t>176,65  0,000270563337753099  86,8</t>
  </si>
  <si>
    <t>168,89  0,000639846678423053  79,04</t>
  </si>
  <si>
    <t>161,46  0,00141376178841327  71,61</t>
  </si>
  <si>
    <t>154,36  0,0029190793229798  64,51</t>
  </si>
  <si>
    <t>147,57  0,0056326253259548  57,72</t>
  </si>
  <si>
    <t>141,08  0,0101567728230961  51,23</t>
  </si>
  <si>
    <t>134,88  0,0171149515839221  45,03</t>
  </si>
  <si>
    <t>128,95  0,0269577906773446  39,1</t>
  </si>
  <si>
    <t>123,28  0,0397213166365477  33,43</t>
  </si>
  <si>
    <t>117,86  0,0548191248980531  28,01</t>
  </si>
  <si>
    <t>112,68  0,0709317504735464  22,83</t>
  </si>
  <si>
    <t>107,72  0,0860231654859699  17,87</t>
  </si>
  <si>
    <t>102,99  0,0975869174895151  13,15</t>
  </si>
  <si>
    <t>98,46  0,103291314715073  8,71</t>
  </si>
  <si>
    <t>94,13  0,101894199996202  4,84</t>
  </si>
  <si>
    <t>89,99  0,0938056171604969  2,04</t>
  </si>
  <si>
    <t>86,03  0,0808191656001107  0,6</t>
  </si>
  <si>
    <t>82,25  0,0653107353700241  0,11</t>
  </si>
  <si>
    <t>78,63  0,0495318376571035  0,01</t>
  </si>
  <si>
    <t>75,17  0,035227905742261  0</t>
  </si>
  <si>
    <t>71,87  0,0234721825550069  0</t>
  </si>
  <si>
    <t>68,71  0,0146434233390607  0</t>
  </si>
  <si>
    <t>65,69  0,00855342829650918  0</t>
  </si>
  <si>
    <t>62,8  0,00467892712167417  0</t>
  </si>
  <si>
    <t>60,04  0,00239752606841255  0</t>
  </si>
  <si>
    <t>57,4  0,00115090801417625  0</t>
  </si>
  <si>
    <t>54,87  0,000517554900718701  0</t>
  </si>
  <si>
    <t>52,46  0,000217976601280959  0</t>
  </si>
  <si>
    <t>50,15  8,59461035759868E-05  0</t>
  </si>
  <si>
    <t>47,95  3,1712127141613E-05  0</t>
  </si>
  <si>
    <t>45,84  1,09497281128829E-05  0</t>
  </si>
  <si>
    <t>43,82  3,54139925373364E-06  0</t>
  </si>
  <si>
    <t>41,9  1,07514912688989E-06  0</t>
  </si>
  <si>
    <t>40,06  3,07197876402963E-07  0</t>
  </si>
  <si>
    <t>38,29  8,27259775567346E-08  0</t>
  </si>
  <si>
    <t>36,61  2,09681084292454E-08  0</t>
  </si>
  <si>
    <t>35  4,98137605267819E-09  0</t>
  </si>
  <si>
    <t>33,46  1,10326271998934E-09  0</t>
  </si>
  <si>
    <t>31,99  2,26809908072629E-10  0</t>
  </si>
  <si>
    <t>30,58  4,3189981693439E-11  0</t>
  </si>
  <si>
    <t>29,24  7,61620827400811E-12  0</t>
  </si>
  <si>
    <t>27,95  1,24405897675153E-12  0</t>
  </si>
  <si>
    <t>26,72  1,88117726434825E-13  0</t>
  </si>
  <si>
    <t>25,55  2,62790639664523E-14  0</t>
  </si>
  <si>
    <t>24,43  3,37982802632237E-15  0</t>
  </si>
  <si>
    <t>23,35  3,98420348955777E-16  0</t>
  </si>
  <si>
    <t>22,32  4,28175854211814E-17  0</t>
  </si>
  <si>
    <t>21,34  4,16889003930983E-18  0</t>
  </si>
  <si>
    <t>20,4  3,65125824959456E-19  0</t>
  </si>
  <si>
    <t>19,51  2,85484918457641E-20  0</t>
  </si>
  <si>
    <t>18,65  1,97963971254071E-21  0</t>
  </si>
  <si>
    <t>17,83  1,21596596897879E-22  0</t>
  </si>
  <si>
    <t>17,05  6,70197235945396E-24  0</t>
  </si>
  <si>
    <t>16,3  3,4302878247283E-25  0</t>
  </si>
  <si>
    <t>15,58  1,6848954694687E-26  0</t>
  </si>
  <si>
    <t>14,89  7,66444075046456E-28  0</t>
  </si>
  <si>
    <t>14,24  2,82546693548641E-29  0</t>
  </si>
  <si>
    <t>13,61  6,96070038439706E-31  0</t>
  </si>
  <si>
    <t>13,01  9,06619149107872E-33  0</t>
  </si>
  <si>
    <t>12,44  6,0054825483483E-35  0</t>
  </si>
  <si>
    <t>712,32  1,05906805548465E-33  622,44</t>
  </si>
  <si>
    <t>681  9,49530895183684E-32  591,11</t>
  </si>
  <si>
    <t>651,05  5,56017526920816E-30  561,17</t>
  </si>
  <si>
    <t>622,42  2,39143981898995E-28  532,54</t>
  </si>
  <si>
    <t>595,05  8,0554811975429E-27  505,17</t>
  </si>
  <si>
    <t>568,89  2,21283896151794E-25  479,01</t>
  </si>
  <si>
    <t>543,87  5,09683963922093E-24  453,99</t>
  </si>
  <si>
    <t>519,96  1,00444796369425E-22  430,08</t>
  </si>
  <si>
    <t>497,1  1,71985460795511E-21  407,21</t>
  </si>
  <si>
    <t>475,24  2,58944878664477E-20  385,36</t>
  </si>
  <si>
    <t>454,34  3,461407771389E-19  364,46</t>
  </si>
  <si>
    <t>434,36  4,14038890543642E-18  344,48</t>
  </si>
  <si>
    <t>415,26  4,46070001663174E-17  325,38</t>
  </si>
  <si>
    <t>397  4,35226227389638E-16  307,12</t>
  </si>
  <si>
    <t>379,55  3,86360754397929E-15  289,67</t>
  </si>
  <si>
    <t>362,86  3,13300197662059E-14  272,98</t>
  </si>
  <si>
    <t>346,9  2,32863889002036E-13  257,02</t>
  </si>
  <si>
    <t>331,65  1,59111691726408E-12  241,77</t>
  </si>
  <si>
    <t>317,06  1,00202207294201E-11  227,18</t>
  </si>
  <si>
    <t>303,12  5,82910297638346E-11  213,24</t>
  </si>
  <si>
    <t>289,79  3,1385339883354E-10  199,91</t>
  </si>
  <si>
    <t>277,05  1,56674363738809E-09  187,17</t>
  </si>
  <si>
    <t>264,87  7,26219376813752E-09  174,99</t>
  </si>
  <si>
    <t>253,22  3,12973862351089E-08  163,34</t>
  </si>
  <si>
    <t>242,09  1,25550502785254E-07  152,21</t>
  </si>
  <si>
    <t>231,44  4,69283302873848E-07  141,56</t>
  </si>
  <si>
    <t>221,27  1,63582681510566E-06  131,39</t>
  </si>
  <si>
    <t>211,54  5,32173958144887E-06  121,66</t>
  </si>
  <si>
    <t>202,24  1,61683948737684E-05  112,35</t>
  </si>
  <si>
    <t>193,34  4,59006811581637E-05  103,46</t>
  </si>
  <si>
    <t>184,84  0,000121819046114002  94,96</t>
  </si>
  <si>
    <t>176,71  0,000302361051465995  86,83</t>
  </si>
  <si>
    <t>168,94  0,000702083027238988  79,06</t>
  </si>
  <si>
    <t>161,51  0,00152547293639628  71,63</t>
  </si>
  <si>
    <t>154,41  0,00310194355176164  64,53</t>
  </si>
  <si>
    <t>147,62  0,00590327806483761  57,74</t>
  </si>
  <si>
    <t>141,13  0,0105141466199754  51,25</t>
  </si>
  <si>
    <t>134,93  0,0175266998717282  45,04</t>
  </si>
  <si>
    <t>128,99  0,0273540218462085  39,11</t>
  </si>
  <si>
    <t>123,32  0,0400018339431155  33,44</t>
  </si>
  <si>
    <t>117,9  0,0548705663733129  28,02</t>
  </si>
  <si>
    <t>112,71  0,0706488159366286  22,83</t>
  </si>
  <si>
    <t>107,76  0,0853453633284319  17,88</t>
  </si>
  <si>
    <t>103,02  0,0965608137203725  13,14</t>
  </si>
  <si>
    <t>98,49  0,102109050934357  8,66</t>
  </si>
  <si>
    <t>94,16  0,100830207921052  4,69</t>
  </si>
  <si>
    <t>90,02  0,0930789974256363  1,81</t>
  </si>
  <si>
    <t>86,06  0,0805101599678893  0,45</t>
  </si>
  <si>
    <t>82,28  0,065381830691726  0,06</t>
  </si>
  <si>
    <t>78,66  0,0498851578196248  0</t>
  </si>
  <si>
    <t>75,2  0,0357426424610215  0</t>
  </si>
  <si>
    <t>71,89  0,0240289113727118  0</t>
  </si>
  <si>
    <t>68,73  0,0151483233342714  0</t>
  </si>
  <si>
    <t>65,71  0,00895409394211279  0</t>
  </si>
  <si>
    <t>62,82  0,00496330822001582  0</t>
  </si>
  <si>
    <t>60,06  0,00258050599039312  0</t>
  </si>
  <si>
    <t>57,42  0,00125857248870311  0</t>
  </si>
  <si>
    <t>54,89  0,000575818983481149  0</t>
  </si>
  <si>
    <t>52,48  0,000247088410052776  0</t>
  </si>
  <si>
    <t>50,17  9,94112105358582E-05  0</t>
  </si>
  <si>
    <t>47,96  3,7486435620917E-05  0</t>
  </si>
  <si>
    <t>45,86  1,32470266220423E-05  0</t>
  </si>
  <si>
    <t>43,84  4,38955042231606E-06  0</t>
  </si>
  <si>
    <t>41,91  1,36602086175387E-06  0</t>
  </si>
  <si>
    <t>40,07  4,0012373132145E-07  0</t>
  </si>
  <si>
    <t>38,31  1,1050712207525E-07  0</t>
  </si>
  <si>
    <t>36,62  2,87726578616722E-08  0</t>
  </si>
  <si>
    <t>35,01  7,0434537154331E-09  0</t>
  </si>
  <si>
    <t>33,47  1,61381350745531E-09  0</t>
  </si>
  <si>
    <t>32  3,44515535142474E-10  0</t>
  </si>
  <si>
    <t>30,59  6,83145502527127E-11  0</t>
  </si>
  <si>
    <t>29,25  1,25671876713591E-11  0</t>
  </si>
  <si>
    <t>27,96  2,14462480493565E-12  0</t>
  </si>
  <si>
    <t>26,73  3,39462403598214E-13  0</t>
  </si>
  <si>
    <t>25,56  4,97807173792018E-14  0</t>
  </si>
  <si>
    <t>24,43  6,74671058321911E-15  0</t>
  </si>
  <si>
    <t>23,36  8,42006353547162E-16  0</t>
  </si>
  <si>
    <t>22,33  9,63301268370532E-17  0</t>
  </si>
  <si>
    <t>21,35  1,00486030390357E-17  0</t>
  </si>
  <si>
    <t>20,41  9,49867406565414E-19  0</t>
  </si>
  <si>
    <t>19,51  8,08054367928955E-20  0</t>
  </si>
  <si>
    <t>18,66  6,14312819421383E-21  0</t>
  </si>
  <si>
    <t>17,84  4,1517772239914E-22  0</t>
  </si>
  <si>
    <t>17,05  2,49756856995306E-23  0</t>
  </si>
  <si>
    <t>16,3  1,35853942400088E-24  0</t>
  </si>
  <si>
    <t>15,58  6,90433840975783E-26  0</t>
  </si>
  <si>
    <t>14,9  3,34871785939844E-27  0</t>
  </si>
  <si>
    <t>14,24  1,47796759555758E-28  0</t>
  </si>
  <si>
    <t>13,62  5,21377927646018E-30  0</t>
  </si>
  <si>
    <t>13,02  1,22991100954879E-31  0</t>
  </si>
  <si>
    <t>12,45  1,56284350073398E-33  0</t>
  </si>
  <si>
    <t>11,9  1,0085206152342E-35  0</t>
  </si>
  <si>
    <t>745,33  1,73919248690686E-34  655,42</t>
  </si>
  <si>
    <t>712,55  1,595678202213E-32  622,64</t>
  </si>
  <si>
    <t>681,22  9,56621313929855E-31  591,31</t>
  </si>
  <si>
    <t>651,27  4,21440376312931E-29  561,36</t>
  </si>
  <si>
    <t>622,63  1,45482289246341E-27  532,72</t>
  </si>
  <si>
    <t>595,25  4,09764744734157E-26  505,34</t>
  </si>
  <si>
    <t>569,08  9,68241521148606E-25  479,17</t>
  </si>
  <si>
    <t>544,05  1,95860940346804E-23  454,14</t>
  </si>
  <si>
    <t>520,13  3,44427383643671E-22  430,22</t>
  </si>
  <si>
    <t>497,26  5,32911583821186E-21  407,35</t>
  </si>
  <si>
    <t>475,4  7,32499948835039E-20  385,48</t>
  </si>
  <si>
    <t>454,49  9,01523638860863E-19  364,58</t>
  </si>
  <si>
    <t>434,51  1,00000837017676E-17  344,6</t>
  </si>
  <si>
    <t>415,4  1,00524848681057E-16  325,49</t>
  </si>
  <si>
    <t>397,14  9,20051563724972E-16  307,22</t>
  </si>
  <si>
    <t>379,67  7,6975741291313E-15  289,76</t>
  </si>
  <si>
    <t>362,98  5,90735626762654E-14  273,07</t>
  </si>
  <si>
    <t>347,02  4,17085853459696E-13  257,11</t>
  </si>
  <si>
    <t>331,76  2,71630548000711E-12  241,85</t>
  </si>
  <si>
    <t>317,17  1,63545252673664E-11  227,26</t>
  </si>
  <si>
    <t>303,22  9,12150449018198E-11  213,31</t>
  </si>
  <si>
    <t>289,89  4,72086283560712E-10  199,98</t>
  </si>
  <si>
    <t>277,14  2,27074065648668E-09  187,23</t>
  </si>
  <si>
    <t>264,96  1,01645649352826E-08  175,05</t>
  </si>
  <si>
    <t>253,31  4,23933237120589E-08  163,4</t>
  </si>
  <si>
    <t>242,17  1,64908234226701E-07  152,26</t>
  </si>
  <si>
    <t>231,52  5,98846550724708E-07  141,61</t>
  </si>
  <si>
    <t>221,34  2,03169503744303E-06  131,43</t>
  </si>
  <si>
    <t>211,61  6,44417208190826E-06  121,7</t>
  </si>
  <si>
    <t>202,3  1,91203699896453E-05  112,39</t>
  </si>
  <si>
    <t>193,41  5,30962600471092E-05  103,5</t>
  </si>
  <si>
    <t>184,9  0,000138055668264404  94,99</t>
  </si>
  <si>
    <t>176,77  0,000336217011686836  86,86</t>
  </si>
  <si>
    <t>169  0,000767150846414887  79,09</t>
  </si>
  <si>
    <t>161,57  0,00164029917577522  71,66</t>
  </si>
  <si>
    <t>154,46  0,00328695316831833  64,55</t>
  </si>
  <si>
    <t>147,67  0,00617311117023367  57,76</t>
  </si>
  <si>
    <t>141,18  0,0108656868339458  51,27</t>
  </si>
  <si>
    <t>134,97  0,0179268256123057  45,06</t>
  </si>
  <si>
    <t>129,04  0,0277342811071785  39,13</t>
  </si>
  <si>
    <t>123,36  0,0402650055584386  33,45</t>
  </si>
  <si>
    <t>117,94  0,0549067935663613  28,03</t>
  </si>
  <si>
    <t>112,75  0,0703586386568426  22,84</t>
  </si>
  <si>
    <t>107,79  0,0846779531125126  17,88</t>
  </si>
  <si>
    <t>103,05  0,0955681300572982  13,14</t>
  </si>
  <si>
    <t>98,52  0,100972000031085  8,63</t>
  </si>
  <si>
    <t>94,19  0,0998005188902975  4,53</t>
  </si>
  <si>
    <t>90,05  0,0923627691761025  1,54</t>
  </si>
  <si>
    <t>86,09  0,0801920478556285  0,29</t>
  </si>
  <si>
    <t>82,3  0,0654344053252427  0,02</t>
  </si>
  <si>
    <t>78,68  0,0502169983006677  0</t>
  </si>
  <si>
    <t>75,22  0,0362370137528429  0</t>
  </si>
  <si>
    <t>71,92  0,0245702672503276  0</t>
  </si>
  <si>
    <t>68,75  0,0156451923911804  0</t>
  </si>
  <si>
    <t>65,73  0,00935359463587204  0</t>
  </si>
  <si>
    <t>62,84  0,00525093750706546  0</t>
  </si>
  <si>
    <t>60,08  0,00276842272587339  0</t>
  </si>
  <si>
    <t>57,44  0,00137095375094111  0</t>
  </si>
  <si>
    <t>54,91  0,0006376986684603  0</t>
  </si>
  <si>
    <t>52,5  0,00027858379403457  0</t>
  </si>
  <si>
    <t>50,19  0,000114269169767622  0</t>
  </si>
  <si>
    <t>47,98  4,39940548100967E-05  0</t>
  </si>
  <si>
    <t>45,87  1,58955717446349E-05  0</t>
  </si>
  <si>
    <t>43,85  5,39159103666905E-06  0</t>
  </si>
  <si>
    <t>41,93  1,71869836096762E-06  0</t>
  </si>
  <si>
    <t>40,08  5,15832374264912E-07  0</t>
  </si>
  <si>
    <t>38,32  1,46021010904662E-07  0</t>
  </si>
  <si>
    <t>36,63  3,90099948910946E-08  0</t>
  </si>
  <si>
    <t>35,02  9,82078757446071E-09  0</t>
  </si>
  <si>
    <t>33,48  2,3218464399971E-09  0</t>
  </si>
  <si>
    <t>32,01  5,13329153958085E-10  0</t>
  </si>
  <si>
    <t>30,6  1,05747712907166E-10  0</t>
  </si>
  <si>
    <t>29,26  2,02556948496211E-11  0</t>
  </si>
  <si>
    <t>27,97  3,60510329178166E-12  0</t>
  </si>
  <si>
    <t>26,74  5,96101200778281E-13  0</t>
  </si>
  <si>
    <t>25,57  9,15188559783652E-14  0</t>
  </si>
  <si>
    <t>24,44  1,30255595859324E-14  0</t>
  </si>
  <si>
    <t>23,37  1,71388533100086E-15  0</t>
  </si>
  <si>
    <t>22,34  2,07701594751413E-16  0</t>
  </si>
  <si>
    <t>21,36  2,30773524344791E-17  0</t>
  </si>
  <si>
    <t>20,42  2,33832121553337E-18  0</t>
  </si>
  <si>
    <t>19,52  2,14762935843542E-19  0</t>
  </si>
  <si>
    <t>18,66  1,77618005317499E-20  0</t>
  </si>
  <si>
    <t>17,84  1,31444489364519E-21  0</t>
  </si>
  <si>
    <t>17,06  8,67118986221248E-23  0</t>
  </si>
  <si>
    <t>16,31  5,11761783053678E-24  0</t>
  </si>
  <si>
    <t>15,59  2,75045518221413E-25  0</t>
  </si>
  <si>
    <t>14,9  1,38671363863382E-26  0</t>
  </si>
  <si>
    <t>14,25  6,6244650280753E-28  0</t>
  </si>
  <si>
    <t>13,62  2,8340891216466E-29  0</t>
  </si>
  <si>
    <t>13,02  9,58408864662073E-31  0</t>
  </si>
  <si>
    <t>12,45  2,17053999197641E-32  0</t>
  </si>
  <si>
    <t>11,9  2,69225889690548E-34  0</t>
  </si>
  <si>
    <t>11,38  1,69364213976711E-36  0</t>
  </si>
  <si>
    <t>779,87  2,85466047047243E-35  689,93</t>
  </si>
  <si>
    <t>745,57  2,67879189393035E-33  655,63</t>
  </si>
  <si>
    <t>712,79  1,64329098425453E-31  622,85</t>
  </si>
  <si>
    <t>681,45  7,41125243185593E-30  591,51</t>
  </si>
  <si>
    <t>651,48  2,62031528137283E-28  561,54</t>
  </si>
  <si>
    <t>622,84  7,56275015398816E-27  532,9</t>
  </si>
  <si>
    <t>595,45  1,83210982835261E-25  505,51</t>
  </si>
  <si>
    <t>569,27  3,8016011203029E-24  479,33</t>
  </si>
  <si>
    <t>544,24  6,86124925639712E-23  454,29</t>
  </si>
  <si>
    <t>520,3  1,09016263993946E-21  430,36</t>
  </si>
  <si>
    <t>497,43  1,53966522996416E-20  407,49</t>
  </si>
  <si>
    <t>475,55  1,94822352331925E-19  385,61</t>
  </si>
  <si>
    <t>454,64  2,22319395500052E-18  364,7</t>
  </si>
  <si>
    <t>434,65  2,30057961747104E-17  344,71</t>
  </si>
  <si>
    <t>415,54  2,16896949528439E-16  325,6</t>
  </si>
  <si>
    <t>397,27  1,87055044513401E-15  307,33</t>
  </si>
  <si>
    <t>379,8  1,48077677681927E-14  289,86</t>
  </si>
  <si>
    <t>363,1  1,07924351005901E-13  273,16</t>
  </si>
  <si>
    <t>347,13  7,26101158663855E-13  257,19</t>
  </si>
  <si>
    <t>331,87  4,51979295353455E-12  241,93</t>
  </si>
  <si>
    <t>317,28  2,60829981080112E-11  227,34</t>
  </si>
  <si>
    <t>303,32  1,39791980058828E-10  213,38</t>
  </si>
  <si>
    <t>289,99  6,96897540257969E-10  200,05</t>
  </si>
  <si>
    <t>277,24  3,23603254610851E-09  187,3</t>
  </si>
  <si>
    <t>265,05  1,40132250181187E-08  175,1</t>
  </si>
  <si>
    <t>253,39  5,66506922165605E-08  163,45</t>
  </si>
  <si>
    <t>242,25  2,14002277622889E-07  152,31</t>
  </si>
  <si>
    <t>231,6  7,56016294088601E-07  141,66</t>
  </si>
  <si>
    <t>221,41  2,49949097692496E-06  131,47</t>
  </si>
  <si>
    <t>211,68  7,73832153726131E-06  121,74</t>
  </si>
  <si>
    <t>202,37  2,24464104422931E-05  112,43</t>
  </si>
  <si>
    <t>193,47  6,10307272617925E-05  103,53</t>
  </si>
  <si>
    <t>184,96  0,000155602765777983  95,02</t>
  </si>
  <si>
    <t>176,83  0,000372125131895342  86,89</t>
  </si>
  <si>
    <t>169,06  0,000834965820987395  79,11</t>
  </si>
  <si>
    <t>161,62  0,00175803719214586  71,68</t>
  </si>
  <si>
    <t>154,51  0,00347379498688667  64,57</t>
  </si>
  <si>
    <t>147,72  0,00644181758325384  57,78</t>
  </si>
  <si>
    <t>141,23  0,0112113060615228  51,28</t>
  </si>
  <si>
    <t>135,02  0,0183156026799827  45,07</t>
  </si>
  <si>
    <t>129,08  0,0280990783032226  39,14</t>
  </si>
  <si>
    <t>123,4  0,040511404382191  33,46</t>
  </si>
  <si>
    <t>117,98  0,0549287283655642  28,04</t>
  </si>
  <si>
    <t>112,79  0,070062711178756  22,85</t>
  </si>
  <si>
    <t>107,83  0,0840216705367364  17,89</t>
  </si>
  <si>
    <t>103,09  0,0946068926222975  13,15</t>
  </si>
  <si>
    <t>98,55  0,099876430042853  8,61</t>
  </si>
  <si>
    <t>94,22  0,0988031260505933  4,39</t>
  </si>
  <si>
    <t>90,08  0,0916578175798224  1,21</t>
  </si>
  <si>
    <t>86,12  0,0798665921793037  0,14</t>
  </si>
  <si>
    <t>82,33  0,0654695651662594  0</t>
  </si>
  <si>
    <t>78,71  0,0505280349062984  0</t>
  </si>
  <si>
    <t>75,25  0,0367116340362207  0</t>
  </si>
  <si>
    <t>71,94  0,025096590534283  0</t>
  </si>
  <si>
    <t>68,78  0,0161338998705778  0</t>
  </si>
  <si>
    <t>65,75  0,00975148587536093  0</t>
  </si>
  <si>
    <t>62,86  0,00554134497656939  0</t>
  </si>
  <si>
    <t>60,1  0,00296095737355922  0</t>
  </si>
  <si>
    <t>57,46  0,00148791195628047  0</t>
  </si>
  <si>
    <t>54,93  0,000703181080641034  0</t>
  </si>
  <si>
    <t>52,51  0,000312510591996574  0</t>
  </si>
  <si>
    <t>50,2  0,000130580467899498  0</t>
  </si>
  <si>
    <t>48  5,12844036897078E-05  0</t>
  </si>
  <si>
    <t>45,89  1,89278392691096E-05  0</t>
  </si>
  <si>
    <t>43,87  6,56587999454953E-06  0</t>
  </si>
  <si>
    <t>41,94  2,14238044148045E-06  0</t>
  </si>
  <si>
    <t>40,1  6,58460793128177E-07  0</t>
  </si>
  <si>
    <t>38,33  1,90944144886078E-07  0</t>
  </si>
  <si>
    <t>36,65  5,22944108251344E-08  0</t>
  </si>
  <si>
    <t>35,04  1,35186802525908E-08  0</t>
  </si>
  <si>
    <t>33,49  3,29081280302292E-09  0</t>
  </si>
  <si>
    <t>32,02  7,51602655935413E-10  0</t>
  </si>
  <si>
    <t>30,61  1,60468555789264E-10  0</t>
  </si>
  <si>
    <t>29,27  3,19394167279596E-11  0</t>
  </si>
  <si>
    <t>27,98  5,91820000312681E-12  0</t>
  </si>
  <si>
    <t>26,75  1,02040269849645E-12  0</t>
  </si>
  <si>
    <t>25,57  1,63653020576949E-13  0</t>
  </si>
  <si>
    <t>24,45  2,43911209405026E-14  0</t>
  </si>
  <si>
    <t>23,37  3,37167598091175E-15  0</t>
  </si>
  <si>
    <t>22,35  4,30998783927492E-16  0</t>
  </si>
  <si>
    <t>21,36  5,07522826797356E-17  0</t>
  </si>
  <si>
    <t>20,42  5,48016031921319E-18  0</t>
  </si>
  <si>
    <t>19,53  5,39750782777537E-19  0</t>
  </si>
  <si>
    <t>18,67  4,82042478763215E-20  0</t>
  </si>
  <si>
    <t>17,85  3,87939256085242E-21  0</t>
  </si>
  <si>
    <t>17,06  2,79789291832561E-22  0</t>
  </si>
  <si>
    <t>16,31  1,80425458752058E-23  0</t>
  </si>
  <si>
    <t>15,59  1,04634282033052E-24  0</t>
  </si>
  <si>
    <t>14,91  5,5607688594755E-26  0</t>
  </si>
  <si>
    <t>14,25  2,778148853015E-27  0</t>
  </si>
  <si>
    <t>13,63  1,3043211985172E-28  0</t>
  </si>
  <si>
    <t>13,03  5,40645316309038E-30  0</t>
  </si>
  <si>
    <t>12,45  1,75567564367078E-31  0</t>
  </si>
  <si>
    <t>11,91  3,82612169179221E-33  0</t>
  </si>
  <si>
    <t>11,38  4,63493077373826E-35  0</t>
  </si>
  <si>
    <t>10,88  2,84418945360831E-37  0</t>
  </si>
  <si>
    <t>816,01  4,6833184043819E-36  726,04</t>
  </si>
  <si>
    <t>780,12  4,49272063342233E-34  690,15</t>
  </si>
  <si>
    <t>745,82  2,81865284841172E-32  655,85</t>
  </si>
  <si>
    <t>713,03  1,30066918983341E-30  623,06</t>
  </si>
  <si>
    <t>681,67  4,70732926623455E-29  591,7</t>
  </si>
  <si>
    <t>651,7  1,39139564647882E-27  561,73</t>
  </si>
  <si>
    <t>623,04  3,45368708890256E-26  533,07</t>
  </si>
  <si>
    <t>595,65  7,34642844977818E-25  505,68</t>
  </si>
  <si>
    <t>569,46  1,3599279077415E-23  479,49</t>
  </si>
  <si>
    <t>544,42  2,21737477086217E-22  454,45</t>
  </si>
  <si>
    <t>520,48  3,21550347400753E-21  430,51</t>
  </si>
  <si>
    <t>497,59  4,18007394006178E-20  407,62</t>
  </si>
  <si>
    <t>475,71  4,90343906948904E-19  385,74</t>
  </si>
  <si>
    <t>454,79  5,21918955698553E-18  364,82</t>
  </si>
  <si>
    <t>434,8  5,06447428041273E-17  344,83</t>
  </si>
  <si>
    <t>415,68  4,49828641249896E-16  325,71</t>
  </si>
  <si>
    <t>397,4  3,66990471080378E-15  307,43</t>
  </si>
  <si>
    <t>379,92  2,75849557137588E-14  289,95</t>
  </si>
  <si>
    <t>363,22  1,91534665439794E-13  273,25</t>
  </si>
  <si>
    <t>347,25  1,23136224087088E-12  257,28</t>
  </si>
  <si>
    <t>331,98  7,34465752654332E-12  242,01</t>
  </si>
  <si>
    <t>317,38  4,07176850763661E-11  227,41</t>
  </si>
  <si>
    <t>303,43  2,10139214654876E-10  213,46</t>
  </si>
  <si>
    <t>290,08  1,01099663513885E-09  200,11</t>
  </si>
  <si>
    <t>277,33  4,53989505287232E-09  187,36</t>
  </si>
  <si>
    <t>265,13  1,90487796266151E-08  175,16</t>
  </si>
  <si>
    <t>253,47  7,4753086384798E-08  163,5</t>
  </si>
  <si>
    <t>242,33  2,74597532163974E-07  152,36</t>
  </si>
  <si>
    <t>231,67  9,44907263194108E-07  141,7</t>
  </si>
  <si>
    <t>221,49  3,0477926897545E-06  131,52</t>
  </si>
  <si>
    <t>211,75  9,21991684752365E-06  121,78</t>
  </si>
  <si>
    <t>202,44  2,61711071760255E-05  112,47</t>
  </si>
  <si>
    <t>193,54  6,97345846154426E-05  103,57</t>
  </si>
  <si>
    <t>185,03  0,000174483426898969  95,06</t>
  </si>
  <si>
    <t>176,89  0,000410072439374729  86,92</t>
  </si>
  <si>
    <t>169,11  0,000905437667909683  79,14</t>
  </si>
  <si>
    <t>161,68  0,0018784860153333  71,71</t>
  </si>
  <si>
    <t>154,57  0,0036621752564325  64,6</t>
  </si>
  <si>
    <t>147,77  0,00670912448156151  57,8</t>
  </si>
  <si>
    <t>141,27  0,0115509380145691  51,3</t>
  </si>
  <si>
    <t>135,06  0,0186932821630407  45,09</t>
  </si>
  <si>
    <t>129,12  0,0284488937740136  39,15</t>
  </si>
  <si>
    <t>123,44  0,040741648754512  33,47</t>
  </si>
  <si>
    <t>118,02  0,0549373256707826  28,05</t>
  </si>
  <si>
    <t>112,83  0,0697623087038154  22,86</t>
  </si>
  <si>
    <t>107,87  0,083376943379419  17,89</t>
  </si>
  <si>
    <t>103,12  0,0936753003067941  13,15</t>
  </si>
  <si>
    <t>98,59  0,0988191812127886  8,62</t>
  </si>
  <si>
    <t>94,25  0,0978361971565811  4,28</t>
  </si>
  <si>
    <t>90,11  0,0909646830595424  0,78</t>
  </si>
  <si>
    <t>86,15  0,0795353029677917  0,02</t>
  </si>
  <si>
    <t>82,36  0,0654884573955879  0</t>
  </si>
  <si>
    <t>78,74  0,0508190058132405  0</t>
  </si>
  <si>
    <t>75,27  0,0371670840366561  0</t>
  </si>
  <si>
    <t>71,96  0,0256081919805589  0</t>
  </si>
  <si>
    <t>68,8  0,0166143438369905  0</t>
  </si>
  <si>
    <t>65,77  0,0101473717716309  0</t>
  </si>
  <si>
    <t>62,88  0,00583408916497183  0</t>
  </si>
  <si>
    <t>60,12  0,00315779440397719  0</t>
  </si>
  <si>
    <t>57,47  0,00160929757537393  0</t>
  </si>
  <si>
    <t>54,95  0,000772241770122785  0</t>
  </si>
  <si>
    <t>52,53  0,000348908477442967  0</t>
  </si>
  <si>
    <t>50,22  0,000148401690662751  0</t>
  </si>
  <si>
    <t>48,01  5,94060396539137E-05  0</t>
  </si>
  <si>
    <t>45,9  2,23768838571837E-05  0</t>
  </si>
  <si>
    <t>43,88  7,93167624786757E-06  0</t>
  </si>
  <si>
    <t>41,95  2,64699153122985E-06  0</t>
  </si>
  <si>
    <t>40,11  8,32600996730882E-07  0</t>
  </si>
  <si>
    <t>38,35  2,47195685899413E-07  0</t>
  </si>
  <si>
    <t>36,66  6,9352914604033E-08  0</t>
  </si>
  <si>
    <t>35,05  1,83883431041835E-08  0</t>
  </si>
  <si>
    <t>33,51  4,60074478352429E-09  0</t>
  </si>
  <si>
    <t>32,03  1,0831146323855E-09  0</t>
  </si>
  <si>
    <t>30,62  2,39104437543456E-10  0</t>
  </si>
  <si>
    <t>29,28  4,93460603187458E-11  0</t>
  </si>
  <si>
    <t>27,99  9,50169264480988E-12  0</t>
  </si>
  <si>
    <t>26,76  1,70535571867258E-12  0</t>
  </si>
  <si>
    <t>25,58  2,85171473450062E-13  0</t>
  </si>
  <si>
    <t>24,46  4,44031822755899E-14  0</t>
  </si>
  <si>
    <t>23,38  6,4294182392392E-15  0</t>
  </si>
  <si>
    <t>22,35  8,63788255409689E-16  0</t>
  </si>
  <si>
    <t>21,37  1,07339943932542E-16  0</t>
  </si>
  <si>
    <t>20,43  1,22896800810748E-17  0</t>
  </si>
  <si>
    <t>19,53  1,2904928294564E-18  0</t>
  </si>
  <si>
    <t>18,67  1,23634975973231E-19  0</t>
  </si>
  <si>
    <t>17,85  1,07450997793741E-20  0</t>
  </si>
  <si>
    <t>17,07  8,42259427044509E-22  0</t>
  </si>
  <si>
    <t>16,32  5,92698215677528E-23  0</t>
  </si>
  <si>
    <t>15,6  3,74151003451267E-24  0</t>
  </si>
  <si>
    <t>14,91  2,13503395560046E-25  0</t>
  </si>
  <si>
    <t>14,26  1,12249004192957E-26  0</t>
  </si>
  <si>
    <t>13,63  5,54999227634931E-28  0</t>
  </si>
  <si>
    <t>13,03  2,5562614656501E-29  0</t>
  </si>
  <si>
    <t>12,46  1,02643461986253E-30  0</t>
  </si>
  <si>
    <t>11,91  3,20603933156212E-32  0</t>
  </si>
  <si>
    <t>11,39  6,73703354889221E-34  0</t>
  </si>
  <si>
    <t>10,89  7,97458541170862E-36  0</t>
  </si>
  <si>
    <t>10,41  4,77634174190423E-38  0</t>
  </si>
  <si>
    <t>853,82  7,67987428534207E-37  763,82</t>
  </si>
  <si>
    <t>816,28  7,52791507360782E-35  726,28</t>
  </si>
  <si>
    <t>780,38  4,82780061291878E-33  690,38</t>
  </si>
  <si>
    <t>746,07  2,27824385096525E-31  656,07</t>
  </si>
  <si>
    <t>713,26  8,43572758218497E-30  623,26</t>
  </si>
  <si>
    <t>681,9  2,55216203688858E-28  591,9</t>
  </si>
  <si>
    <t>651,92  6,48711326991209E-27  561,92</t>
  </si>
  <si>
    <t>623,25  1,41371981308903E-25  533,25</t>
  </si>
  <si>
    <t>595,85  2,68247668633359E-24  505,85</t>
  </si>
  <si>
    <t>569,64  4,48552653154375E-23  479,64</t>
  </si>
  <si>
    <t>544,6  6,67430387145699E-22  454,6</t>
  </si>
  <si>
    <t>520,65  8,90757289275308E-21  430,65</t>
  </si>
  <si>
    <t>497,76  1,07334166369283E-19  407,76</t>
  </si>
  <si>
    <t>475,87  1,1742301804E-18  385,87</t>
  </si>
  <si>
    <t>454,94  1,17180876512047E-17  364,94</t>
  </si>
  <si>
    <t>434,94  1,07104869452208E-16  344,94</t>
  </si>
  <si>
    <t>415,81  8,99772477066429E-16  325,81</t>
  </si>
  <si>
    <t>397,53  6,96868506289663E-15  307,53</t>
  </si>
  <si>
    <t>380,05  4,98907898761931E-14  290,05</t>
  </si>
  <si>
    <t>363,34  3,3094536266456E-13  273,34</t>
  </si>
  <si>
    <t>347,36  2,03822421741952E-12  257,36</t>
  </si>
  <si>
    <t>332,09  1,16760390021942E-11  242,09</t>
  </si>
  <si>
    <t>317,49  6,23137052573926E-11  227,49</t>
  </si>
  <si>
    <t>303,53  3,10264582715089E-10  213,53</t>
  </si>
  <si>
    <t>290,18  1,44306723399954E-09  200,18</t>
  </si>
  <si>
    <t>277,42  6,27666287913975E-09  187,42</t>
  </si>
  <si>
    <t>265,22  2,55555273063998E-08  175,22</t>
  </si>
  <si>
    <t>253,56  9,7483310640622E-08  163,56</t>
  </si>
  <si>
    <t>242,41  3,48654573088704E-07  152,41</t>
  </si>
  <si>
    <t>231,75  1,16995615603246E-06  141,75</t>
  </si>
  <si>
    <t>221,56  3,68557675207976E-06  131,56</t>
  </si>
  <si>
    <t>211,82  1,09049088404573E-05  121,82</t>
  </si>
  <si>
    <t>202,5  3,03185118869604E-05  112,5</t>
  </si>
  <si>
    <t>193,6  7,9236151048078E-05  103,6</t>
  </si>
  <si>
    <t>185,09  0,000194716195304238  95,09</t>
  </si>
  <si>
    <t>176,95  0,000450039605146126  86,95</t>
  </si>
  <si>
    <t>169,17  0,000978471316403232  79,17</t>
  </si>
  <si>
    <t>161,73  0,00200144836734223  71,73</t>
  </si>
  <si>
    <t>154,62  0,00385181916699929  64,62</t>
  </si>
  <si>
    <t>147,82  0,00697478868706387  57,82</t>
  </si>
  <si>
    <t>141,32  0,0118845326754557  51,32</t>
  </si>
  <si>
    <t>135,1  0,0190600986577675  45,1</t>
  </si>
  <si>
    <t>129,16  0,0287841915161244  39,16</t>
  </si>
  <si>
    <t>123,48  0,0409563878750075  33,48</t>
  </si>
  <si>
    <t>118,05  0,0549335352863728  28,05</t>
  </si>
  <si>
    <t>112,86  0,0694585165912242  22,86</t>
  </si>
  <si>
    <t>107,9  0,0827439838837984  17,9</t>
  </si>
  <si>
    <t>103,16  0,0927717081769139  13,16</t>
  </si>
  <si>
    <t>98,62  0,0977975350770182  8,62</t>
  </si>
  <si>
    <t>94,28  0,0968980579590377  4,28</t>
  </si>
  <si>
    <t>90,14  0,0902836632573702  0,14</t>
  </si>
  <si>
    <t>86,17  0,0791994691658643  0</t>
  </si>
  <si>
    <t>82,39  0,0654922244631138  0</t>
  </si>
  <si>
    <t>78,76  0,051090692604979  0</t>
  </si>
  <si>
    <t>75,3  0,0376039275776166  0</t>
  </si>
  <si>
    <t>71,99  0,0261053614247877  0</t>
  </si>
  <si>
    <t>68,82  0,0170864444656539  0</t>
  </si>
  <si>
    <t>65,8  0,0105408984833567  0</t>
  </si>
  <si>
    <t>62,9  0,0061287564808053  0</t>
  </si>
  <si>
    <t>60,14  0,00335862379028682  0</t>
  </si>
  <si>
    <t>57,49  0,00173495328330715  0</t>
  </si>
  <si>
    <t>54,97  0,000844845576949005  0</t>
  </si>
  <si>
    <t>52,55  0,000387809070663558  0</t>
  </si>
  <si>
    <t>50,24  0,000167785294720449  0</t>
  </si>
  <si>
    <t>48,03  6,84063793734197E-05  0</t>
  </si>
  <si>
    <t>45,92  2,62761487079653E-05  0</t>
  </si>
  <si>
    <t>43,9  9,50905685902506E-06  0</t>
  </si>
  <si>
    <t>41,97  3,24316752098968E-06  0</t>
  </si>
  <si>
    <t>40,12  1,04331136172911E-06  0</t>
  </si>
  <si>
    <t>38,36  3,16952256875202E-07  0</t>
  </si>
  <si>
    <t>36,67  9,10363285233691E-08  0</t>
  </si>
  <si>
    <t>35,06  2,47334071007571E-08  0</t>
  </si>
  <si>
    <t>33,52  6,35138979355037E-09  0</t>
  </si>
  <si>
    <t>32,04  1,53833691374371E-09  0</t>
  </si>
  <si>
    <t>30,63  3,50376345884887E-10  0</t>
  </si>
  <si>
    <t>29,29  7,48158395048464E-11  0</t>
  </si>
  <si>
    <t>28  1,4941195155879E-11  0</t>
  </si>
  <si>
    <t>26,77  2,78661123980354E-12  0</t>
  </si>
  <si>
    <t>25,59  4,8501260969572E-13  0</t>
  </si>
  <si>
    <t>24,47  7,87395492150646E-14  0</t>
  </si>
  <si>
    <t>23,39  1,19129219251937E-14  0</t>
  </si>
  <si>
    <t>22,36  1,6769959216074E-15  0</t>
  </si>
  <si>
    <t>21,38  2,19112591019024E-16  0</t>
  </si>
  <si>
    <t>20,44  2,64858774175362E-17  0</t>
  </si>
  <si>
    <t>19,54  2,95028494360104E-18  0</t>
  </si>
  <si>
    <t>18,68  3,01464926923087E-19  0</t>
  </si>
  <si>
    <t>17,86  2,81131798614005E-20  0</t>
  </si>
  <si>
    <t>17,07  2,37956804548436E-21  0</t>
  </si>
  <si>
    <t>16,32  1,81844847633449E-22  0</t>
  </si>
  <si>
    <t>15,61  1,25001456075484E-23  0</t>
  </si>
  <si>
    <t>14,92  7,7349764148417E-25  0</t>
  </si>
  <si>
    <t>14,26  4,34811570632234E-26  0</t>
  </si>
  <si>
    <t>13,64  2,26183060735748E-27  0</t>
  </si>
  <si>
    <t>13,04  1,1053340207736E-28  0</t>
  </si>
  <si>
    <t>12,46  4,98723093896636E-30  0</t>
  </si>
  <si>
    <t>11,92  1,94009854437169E-31  0</t>
  </si>
  <si>
    <t>11,39  5,83769225261132E-33  0</t>
  </si>
  <si>
    <t>10,89  1,18499983439724E-34  0</t>
  </si>
  <si>
    <t>10,41  1,37127257163721E-36  0</t>
  </si>
  <si>
    <t>9,95  8,02106920356737E-39  0</t>
  </si>
  <si>
    <r>
      <rPr>
        <sz val="11"/>
        <color theme="1"/>
        <rFont val="Calibri (Corps)"/>
      </rPr>
      <t>Vrai: génère un arbre dans la Spreadsheet</t>
    </r>
    <r>
      <rPr>
        <sz val="11"/>
        <color theme="1"/>
        <rFont val="Calibri"/>
        <family val="2"/>
        <scheme val="minor"/>
      </rPr>
      <t xml:space="preserve"> 'tester'.</t>
    </r>
    <r>
      <rPr>
        <sz val="11"/>
        <color rgb="FFFF0000"/>
        <rFont val="Calibri"/>
        <family val="2"/>
        <scheme val="minor"/>
      </rPr>
      <t xml:space="preserve"> Ne fonctionne que sans Pruning !</t>
    </r>
  </si>
  <si>
    <t>European Black-Scholes Price</t>
  </si>
  <si>
    <t>L'arbre n'arrive pas à 1000 steps sans pruning</t>
  </si>
  <si>
    <t>Vrai si américaine faux sinon</t>
  </si>
  <si>
    <t>Gap with Prunning</t>
  </si>
  <si>
    <t>Time without Pruning</t>
  </si>
  <si>
    <t>Gap without Prunning</t>
  </si>
  <si>
    <t>Dividend</t>
  </si>
  <si>
    <t>Call Value/  Stock Price</t>
  </si>
  <si>
    <t>Call Value/  Strike</t>
  </si>
  <si>
    <t>Call Value/  Interest Rate</t>
  </si>
  <si>
    <t>Call Value/  Volatility</t>
  </si>
  <si>
    <t>Call Value/ 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</si>
</sst>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 (Corps)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0" fillId="2" borderId="0" xfId="0" applyFill="1"/>
    <xf numFmtId="9" fontId="0" fillId="0" borderId="0" xfId="1" applyFont="1"/>
    <xf numFmtId="11" fontId="0" fillId="0" borderId="0" xfId="0" applyNumberFormat="1"/>
    <xf numFmtId="0" fontId="4" fillId="0" borderId="0" xfId="0" applyFont="1"/>
    <xf numFmtId="0" fontId="0" fillId="0" borderId="1" xfId="0" applyBorder="1"/>
    <xf numFmtId="0" fontId="0" fillId="4" borderId="2" xfId="0" applyFill="1" applyBorder="1"/>
    <xf numFmtId="0" fontId="0" fillId="0" borderId="4" xfId="0" applyBorder="1"/>
    <xf numFmtId="0" fontId="0" fillId="3" borderId="3" xfId="0" applyFill="1" applyBorder="1"/>
    <xf numFmtId="0" fontId="0" fillId="0" borderId="5" xfId="0" applyBorder="1"/>
    <xf numFmtId="0" fontId="0" fillId="0" borderId="6" xfId="0" applyBorder="1"/>
    <xf numFmtId="0" fontId="0" fillId="0" borderId="0" xfId="0" applyFill="1" applyBorder="1"/>
    <xf numFmtId="0" fontId="0" fillId="0" borderId="7" xfId="0" applyFill="1" applyBorder="1"/>
  </cellXfs>
  <cellStyles count="24">
    <cellStyle name="Lien hypertexte" xfId="2" builtinId="8" hidden="1"/>
    <cellStyle name="Lien hypertexte" xfId="4" builtinId="8" hidden="1"/>
    <cellStyle name="Lien hypertexte" xfId="6" builtinId="8" hidden="1"/>
    <cellStyle name="Lien hypertexte" xfId="8" builtinId="8" hidden="1"/>
    <cellStyle name="Lien hypertexte" xfId="10" builtinId="8" hidden="1"/>
    <cellStyle name="Lien hypertexte" xfId="12" builtinId="8" hidden="1"/>
    <cellStyle name="Lien hypertexte" xfId="14" builtinId="8" hidden="1"/>
    <cellStyle name="Lien hypertexte" xfId="16" builtinId="8" hidden="1"/>
    <cellStyle name="Lien hypertexte" xfId="18" builtinId="8" hidden="1"/>
    <cellStyle name="Lien hypertexte" xfId="20" builtinId="8" hidden="1"/>
    <cellStyle name="Lien hypertexte" xfId="22" builtinId="8" hidden="1"/>
    <cellStyle name="Lien hypertexte visité" xfId="3" builtinId="9" hidden="1"/>
    <cellStyle name="Lien hypertexte visité" xfId="5" builtinId="9" hidden="1"/>
    <cellStyle name="Lien hypertexte visité" xfId="7" builtinId="9" hidden="1"/>
    <cellStyle name="Lien hypertexte visité" xfId="9" builtinId="9" hidden="1"/>
    <cellStyle name="Lien hypertexte visité" xfId="11" builtinId="9" hidden="1"/>
    <cellStyle name="Lien hypertexte visité" xfId="13" builtinId="9" hidden="1"/>
    <cellStyle name="Lien hypertexte visité" xfId="15" builtinId="9" hidden="1"/>
    <cellStyle name="Lien hypertexte visité" xfId="17" builtinId="9" hidden="1"/>
    <cellStyle name="Lien hypertexte visité" xfId="19" builtinId="9" hidden="1"/>
    <cellStyle name="Lien hypertexte visité" xfId="21" builtinId="9" hidden="1"/>
    <cellStyle name="Lien hypertexte visité" xfId="23" builtinId="9" hidden="1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Analysis!$O$1</c:f>
              <c:strCache>
                <c:ptCount val="1"/>
                <c:pt idx="0">
                  <c:v>Call Value/  Stock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Analysis!$J$2:$J$20</c:f>
              <c:numCache>
                <c:formatCode>General</c:formatCode>
                <c:ptCount val="1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  <c:pt idx="9">
                  <c:v>100.0</c:v>
                </c:pt>
                <c:pt idx="10">
                  <c:v>110.0</c:v>
                </c:pt>
                <c:pt idx="11">
                  <c:v>120.0</c:v>
                </c:pt>
                <c:pt idx="12">
                  <c:v>130.0</c:v>
                </c:pt>
                <c:pt idx="13">
                  <c:v>140.0</c:v>
                </c:pt>
                <c:pt idx="14">
                  <c:v>150.0</c:v>
                </c:pt>
                <c:pt idx="15">
                  <c:v>160.0</c:v>
                </c:pt>
                <c:pt idx="16">
                  <c:v>170.0</c:v>
                </c:pt>
                <c:pt idx="17">
                  <c:v>180.0</c:v>
                </c:pt>
                <c:pt idx="18">
                  <c:v>190.0</c:v>
                </c:pt>
              </c:numCache>
            </c:numRef>
          </c:xVal>
          <c:yVal>
            <c:numRef>
              <c:f>Analysis!$O$2:$O$20</c:f>
              <c:numCache>
                <c:formatCode>General</c:formatCode>
                <c:ptCount val="19"/>
                <c:pt idx="0">
                  <c:v>2.12229641513651E-38</c:v>
                </c:pt>
                <c:pt idx="1">
                  <c:v>5.00969310004221E-19</c:v>
                </c:pt>
                <c:pt idx="2">
                  <c:v>4.15936387264113E-11</c:v>
                </c:pt>
                <c:pt idx="3">
                  <c:v>7.49494270902276E-7</c:v>
                </c:pt>
                <c:pt idx="4">
                  <c:v>0.000289923433682662</c:v>
                </c:pt>
                <c:pt idx="5">
                  <c:v>0.013655850756695</c:v>
                </c:pt>
                <c:pt idx="6">
                  <c:v>0.17687796343462</c:v>
                </c:pt>
                <c:pt idx="7">
                  <c:v>1.020534760857062</c:v>
                </c:pt>
                <c:pt idx="8">
                  <c:v>3.417194750005461</c:v>
                </c:pt>
                <c:pt idx="9">
                  <c:v>8.017870322339455</c:v>
                </c:pt>
                <c:pt idx="10">
                  <c:v>14.72878084812044</c:v>
                </c:pt>
                <c:pt idx="11">
                  <c:v>22.9898753575373</c:v>
                </c:pt>
                <c:pt idx="12">
                  <c:v>32.18010796622094</c:v>
                </c:pt>
                <c:pt idx="13">
                  <c:v>41.83660114486449</c:v>
                </c:pt>
                <c:pt idx="14">
                  <c:v>51.70479081591127</c:v>
                </c:pt>
                <c:pt idx="15">
                  <c:v>61.65582305380946</c:v>
                </c:pt>
                <c:pt idx="16">
                  <c:v>71.63864339801091</c:v>
                </c:pt>
                <c:pt idx="17">
                  <c:v>81.63286823955106</c:v>
                </c:pt>
                <c:pt idx="18">
                  <c:v>91.63109819124149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252048"/>
        <c:axId val="1947795264"/>
      </c:scatterChart>
      <c:valAx>
        <c:axId val="202025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7795264"/>
        <c:crosses val="autoZero"/>
        <c:crossBetween val="midCat"/>
      </c:valAx>
      <c:valAx>
        <c:axId val="194779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025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Analysis!$P$1</c:f>
              <c:strCache>
                <c:ptCount val="1"/>
                <c:pt idx="0">
                  <c:v>Call Value/  Strike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Analysis!$K$2:$K$20</c:f>
              <c:numCache>
                <c:formatCode>General</c:formatCode>
                <c:ptCount val="19"/>
                <c:pt idx="0">
                  <c:v>10.0</c:v>
                </c:pt>
                <c:pt idx="1">
                  <c:v>20.0</c:v>
                </c:pt>
                <c:pt idx="2">
                  <c:v>30.0</c:v>
                </c:pt>
                <c:pt idx="3">
                  <c:v>40.0</c:v>
                </c:pt>
                <c:pt idx="4">
                  <c:v>50.0</c:v>
                </c:pt>
                <c:pt idx="5">
                  <c:v>60.0</c:v>
                </c:pt>
                <c:pt idx="6">
                  <c:v>70.0</c:v>
                </c:pt>
                <c:pt idx="7">
                  <c:v>80.0</c:v>
                </c:pt>
                <c:pt idx="8">
                  <c:v>90.0</c:v>
                </c:pt>
                <c:pt idx="9">
                  <c:v>100.0</c:v>
                </c:pt>
                <c:pt idx="10">
                  <c:v>110.0</c:v>
                </c:pt>
                <c:pt idx="11">
                  <c:v>120.0</c:v>
                </c:pt>
                <c:pt idx="12">
                  <c:v>130.0</c:v>
                </c:pt>
                <c:pt idx="13">
                  <c:v>140.0</c:v>
                </c:pt>
                <c:pt idx="14">
                  <c:v>150.0</c:v>
                </c:pt>
                <c:pt idx="15">
                  <c:v>160.0</c:v>
                </c:pt>
                <c:pt idx="16">
                  <c:v>170.0</c:v>
                </c:pt>
                <c:pt idx="17">
                  <c:v>180.0</c:v>
                </c:pt>
                <c:pt idx="18">
                  <c:v>190.0</c:v>
                </c:pt>
              </c:numCache>
            </c:numRef>
          </c:xVal>
          <c:yVal>
            <c:numRef>
              <c:f>Analysis!$P$2:$P$20</c:f>
              <c:numCache>
                <c:formatCode>General</c:formatCode>
                <c:ptCount val="19"/>
                <c:pt idx="0">
                  <c:v>90.16302366646831</c:v>
                </c:pt>
                <c:pt idx="1">
                  <c:v>80.32604733293718</c:v>
                </c:pt>
                <c:pt idx="2">
                  <c:v>70.4890709994179</c:v>
                </c:pt>
                <c:pt idx="3">
                  <c:v>60.65209494813251</c:v>
                </c:pt>
                <c:pt idx="4">
                  <c:v>50.81525254126662</c:v>
                </c:pt>
                <c:pt idx="5">
                  <c:v>40.98555620064497</c:v>
                </c:pt>
                <c:pt idx="6">
                  <c:v>31.2503927359039</c:v>
                </c:pt>
                <c:pt idx="7">
                  <c:v>22.00521274040468</c:v>
                </c:pt>
                <c:pt idx="8">
                  <c:v>14.01520474190013</c:v>
                </c:pt>
                <c:pt idx="9">
                  <c:v>8.017870322339455</c:v>
                </c:pt>
                <c:pt idx="10">
                  <c:v>4.123098953420498</c:v>
                </c:pt>
                <c:pt idx="11">
                  <c:v>1.920335035550313</c:v>
                </c:pt>
                <c:pt idx="12">
                  <c:v>0.826053816665882</c:v>
                </c:pt>
                <c:pt idx="13">
                  <c:v>0.327922784897986</c:v>
                </c:pt>
                <c:pt idx="14">
                  <c:v>0.125305103382368</c:v>
                </c:pt>
                <c:pt idx="15">
                  <c:v>0.0454053855166889</c:v>
                </c:pt>
                <c:pt idx="16">
                  <c:v>0.0157156748197241</c:v>
                </c:pt>
                <c:pt idx="17">
                  <c:v>0.0051741221121756</c:v>
                </c:pt>
                <c:pt idx="18">
                  <c:v>0.00178776658143181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581504"/>
        <c:axId val="1386444176"/>
      </c:scatterChart>
      <c:valAx>
        <c:axId val="194658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6444176"/>
        <c:crosses val="autoZero"/>
        <c:crossBetween val="midCat"/>
      </c:valAx>
      <c:valAx>
        <c:axId val="138644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658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Analysis!$Q$1</c:f>
              <c:strCache>
                <c:ptCount val="1"/>
                <c:pt idx="0">
                  <c:v>Call Value/  Interest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Analysis!$L$2:$L$20</c:f>
              <c:numCache>
                <c:formatCode>General</c:formatCode>
                <c:ptCount val="19"/>
                <c:pt idx="0">
                  <c:v>-0.07</c:v>
                </c:pt>
                <c:pt idx="1">
                  <c:v>-0.06</c:v>
                </c:pt>
                <c:pt idx="2">
                  <c:v>-0.05</c:v>
                </c:pt>
                <c:pt idx="3">
                  <c:v>-0.04</c:v>
                </c:pt>
                <c:pt idx="4">
                  <c:v>-0.03</c:v>
                </c:pt>
                <c:pt idx="5">
                  <c:v>-0.02</c:v>
                </c:pt>
                <c:pt idx="6">
                  <c:v>-0.01</c:v>
                </c:pt>
                <c:pt idx="7">
                  <c:v>0.0</c:v>
                </c:pt>
                <c:pt idx="8">
                  <c:v>0.01</c:v>
                </c:pt>
                <c:pt idx="9">
                  <c:v>0.02</c:v>
                </c:pt>
                <c:pt idx="10">
                  <c:v>0.03</c:v>
                </c:pt>
                <c:pt idx="11">
                  <c:v>0.04</c:v>
                </c:pt>
                <c:pt idx="12">
                  <c:v>0.05</c:v>
                </c:pt>
                <c:pt idx="13">
                  <c:v>0.06</c:v>
                </c:pt>
                <c:pt idx="14">
                  <c:v>0.07</c:v>
                </c:pt>
                <c:pt idx="15">
                  <c:v>0.08</c:v>
                </c:pt>
                <c:pt idx="16">
                  <c:v>0.09</c:v>
                </c:pt>
                <c:pt idx="17">
                  <c:v>0.1</c:v>
                </c:pt>
                <c:pt idx="18">
                  <c:v>0.11</c:v>
                </c:pt>
              </c:numCache>
            </c:numRef>
          </c:xVal>
          <c:yVal>
            <c:numRef>
              <c:f>Analysis!$Q$2:$Q$20</c:f>
              <c:numCache>
                <c:formatCode>General</c:formatCode>
                <c:ptCount val="19"/>
                <c:pt idx="0">
                  <c:v>4.842472787698282</c:v>
                </c:pt>
                <c:pt idx="1">
                  <c:v>5.158248801425708</c:v>
                </c:pt>
                <c:pt idx="2">
                  <c:v>5.470989072863114</c:v>
                </c:pt>
                <c:pt idx="3">
                  <c:v>5.780720364806255</c:v>
                </c:pt>
                <c:pt idx="4">
                  <c:v>6.133033745487743</c:v>
                </c:pt>
                <c:pt idx="5">
                  <c:v>6.49348295516204</c:v>
                </c:pt>
                <c:pt idx="6">
                  <c:v>6.850830334001845</c:v>
                </c:pt>
                <c:pt idx="7">
                  <c:v>7.205101876013486</c:v>
                </c:pt>
                <c:pt idx="8">
                  <c:v>7.613081156442238</c:v>
                </c:pt>
                <c:pt idx="9">
                  <c:v>8.017870322339455</c:v>
                </c:pt>
                <c:pt idx="10">
                  <c:v>8.419494885416014</c:v>
                </c:pt>
                <c:pt idx="11">
                  <c:v>8.824610099820207</c:v>
                </c:pt>
                <c:pt idx="12">
                  <c:v>9.274961635200892</c:v>
                </c:pt>
                <c:pt idx="13">
                  <c:v>9.722051504029282</c:v>
                </c:pt>
                <c:pt idx="14">
                  <c:v>10.1659045944202</c:v>
                </c:pt>
                <c:pt idx="15">
                  <c:v>10.61485082328753</c:v>
                </c:pt>
                <c:pt idx="16">
                  <c:v>11.10385630029881</c:v>
                </c:pt>
                <c:pt idx="17">
                  <c:v>11.58950842042061</c:v>
                </c:pt>
                <c:pt idx="18">
                  <c:v>12.07183153847029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724976"/>
        <c:axId val="1391646048"/>
      </c:scatterChart>
      <c:valAx>
        <c:axId val="201572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1646048"/>
        <c:crosses val="autoZero"/>
        <c:crossBetween val="midCat"/>
      </c:valAx>
      <c:valAx>
        <c:axId val="13916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572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Analysis!$R$1</c:f>
              <c:strCache>
                <c:ptCount val="1"/>
                <c:pt idx="0">
                  <c:v>Call Value/  Volatility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Analysis!$M$2:$M$20</c:f>
              <c:numCache>
                <c:formatCode>General</c:formatCode>
                <c:ptCount val="19"/>
                <c:pt idx="8">
                  <c:v>0.1</c:v>
                </c:pt>
                <c:pt idx="9">
                  <c:v>0.2</c:v>
                </c:pt>
                <c:pt idx="10">
                  <c:v>0.3</c:v>
                </c:pt>
                <c:pt idx="11">
                  <c:v>0.4</c:v>
                </c:pt>
                <c:pt idx="12">
                  <c:v>0.5</c:v>
                </c:pt>
                <c:pt idx="13">
                  <c:v>0.6</c:v>
                </c:pt>
                <c:pt idx="14">
                  <c:v>0.7</c:v>
                </c:pt>
                <c:pt idx="15">
                  <c:v>0.8</c:v>
                </c:pt>
                <c:pt idx="16">
                  <c:v>0.9</c:v>
                </c:pt>
                <c:pt idx="17">
                  <c:v>1</c:v>
                </c:pt>
                <c:pt idx="18">
                  <c:v>1.1</c:v>
                </c:pt>
              </c:numCache>
            </c:numRef>
          </c:xVal>
          <c:yVal>
            <c:numRef>
              <c:f>Analysis!$R$2:$R$20</c:f>
              <c:numCache>
                <c:formatCode>General</c:formatCode>
                <c:ptCount val="19"/>
                <c:pt idx="8">
                  <c:v>4.452166824414284</c:v>
                </c:pt>
                <c:pt idx="9">
                  <c:v>8.017870322339455</c:v>
                </c:pt>
                <c:pt idx="10">
                  <c:v>11.57244761596225</c:v>
                </c:pt>
                <c:pt idx="11">
                  <c:v>15.10522951014737</c:v>
                </c:pt>
                <c:pt idx="12">
                  <c:v>18.60915258899737</c:v>
                </c:pt>
                <c:pt idx="13">
                  <c:v>22.07734885354023</c:v>
                </c:pt>
                <c:pt idx="14">
                  <c:v>25.50317175261281</c:v>
                </c:pt>
                <c:pt idx="15">
                  <c:v>28.88023072238908</c:v>
                </c:pt>
                <c:pt idx="16">
                  <c:v>32.2024255543113</c:v>
                </c:pt>
                <c:pt idx="17">
                  <c:v>35.46397859988413</c:v>
                </c:pt>
                <c:pt idx="18">
                  <c:v>38.65946407058728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8070944"/>
        <c:axId val="1388122480"/>
      </c:scatterChart>
      <c:valAx>
        <c:axId val="138807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8122480"/>
        <c:crosses val="autoZero"/>
        <c:crossBetween val="midCat"/>
      </c:valAx>
      <c:valAx>
        <c:axId val="138812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8070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Analysis!$S$1</c:f>
              <c:strCache>
                <c:ptCount val="1"/>
                <c:pt idx="0">
                  <c:v>Call Value/ Dividend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Analysis!$N$2:$N$20</c:f>
              <c:numCache>
                <c:formatCode>General</c:formatCode>
                <c:ptCount val="19"/>
                <c:pt idx="9">
                  <c:v>0.0</c:v>
                </c:pt>
                <c:pt idx="10">
                  <c:v>1.0</c:v>
                </c:pt>
                <c:pt idx="11">
                  <c:v>2.0</c:v>
                </c:pt>
                <c:pt idx="12">
                  <c:v>3.0</c:v>
                </c:pt>
                <c:pt idx="13">
                  <c:v>4.0</c:v>
                </c:pt>
                <c:pt idx="14">
                  <c:v>5.0</c:v>
                </c:pt>
                <c:pt idx="15">
                  <c:v>6.0</c:v>
                </c:pt>
                <c:pt idx="16">
                  <c:v>7.0</c:v>
                </c:pt>
                <c:pt idx="17">
                  <c:v>8.0</c:v>
                </c:pt>
                <c:pt idx="18">
                  <c:v>9.0</c:v>
                </c:pt>
              </c:numCache>
            </c:numRef>
          </c:xVal>
          <c:yVal>
            <c:numRef>
              <c:f>Analysis!$S$2:$S$20</c:f>
              <c:numCache>
                <c:formatCode>General</c:formatCode>
                <c:ptCount val="19"/>
                <c:pt idx="9">
                  <c:v>8.017870322339455</c:v>
                </c:pt>
                <c:pt idx="10">
                  <c:v>7.490075319049126</c:v>
                </c:pt>
                <c:pt idx="11">
                  <c:v>6.992231049542084</c:v>
                </c:pt>
                <c:pt idx="12">
                  <c:v>6.53864047841958</c:v>
                </c:pt>
                <c:pt idx="13">
                  <c:v>6.084987450031431</c:v>
                </c:pt>
                <c:pt idx="14">
                  <c:v>5.648112871259694</c:v>
                </c:pt>
                <c:pt idx="15">
                  <c:v>5.260800082289055</c:v>
                </c:pt>
                <c:pt idx="16">
                  <c:v>4.872521998882783</c:v>
                </c:pt>
                <c:pt idx="17">
                  <c:v>4.499084851058155</c:v>
                </c:pt>
                <c:pt idx="18">
                  <c:v>4.172450649014208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440848"/>
        <c:axId val="1946971616"/>
      </c:scatterChart>
      <c:valAx>
        <c:axId val="138644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6971616"/>
        <c:crosses val="autoZero"/>
        <c:crossBetween val="midCat"/>
      </c:valAx>
      <c:valAx>
        <c:axId val="194697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644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236220</xdr:colOff>
      <xdr:row>0</xdr:row>
      <xdr:rowOff>114301</xdr:rowOff>
    </xdr:from>
    <xdr:to>
      <xdr:col>3</xdr:col>
      <xdr:colOff>601980</xdr:colOff>
      <xdr:row>2</xdr:row>
      <xdr:rowOff>1</xdr:rowOff>
    </xdr:to>
    <xdr:sp macro="[0]!Main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2171700" y="114301"/>
          <a:ext cx="1158240" cy="2514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Trinomial Pricing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76200</xdr:rowOff>
    </xdr:from>
    <xdr:to>
      <xdr:col>1</xdr:col>
      <xdr:colOff>390525</xdr:colOff>
      <xdr:row>2</xdr:row>
      <xdr:rowOff>38100</xdr:rowOff>
    </xdr:to>
    <xdr:sp macro="[0]!Main.Main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190500" y="76200"/>
          <a:ext cx="9906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671286</xdr:colOff>
      <xdr:row>22</xdr:row>
      <xdr:rowOff>43544</xdr:rowOff>
    </xdr:from>
    <xdr:to>
      <xdr:col>7</xdr:col>
      <xdr:colOff>90714</xdr:colOff>
      <xdr:row>35</xdr:row>
      <xdr:rowOff>192315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72571</xdr:colOff>
      <xdr:row>22</xdr:row>
      <xdr:rowOff>25400</xdr:rowOff>
    </xdr:from>
    <xdr:to>
      <xdr:col>13</xdr:col>
      <xdr:colOff>181428</xdr:colOff>
      <xdr:row>35</xdr:row>
      <xdr:rowOff>174171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199570</xdr:colOff>
      <xdr:row>22</xdr:row>
      <xdr:rowOff>7257</xdr:rowOff>
    </xdr:from>
    <xdr:to>
      <xdr:col>16</xdr:col>
      <xdr:colOff>1161142</xdr:colOff>
      <xdr:row>35</xdr:row>
      <xdr:rowOff>156028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1161144</xdr:colOff>
      <xdr:row>22</xdr:row>
      <xdr:rowOff>7258</xdr:rowOff>
    </xdr:from>
    <xdr:to>
      <xdr:col>20</xdr:col>
      <xdr:colOff>798287</xdr:colOff>
      <xdr:row>35</xdr:row>
      <xdr:rowOff>156029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816429</xdr:colOff>
      <xdr:row>22</xdr:row>
      <xdr:rowOff>7258</xdr:rowOff>
    </xdr:from>
    <xdr:to>
      <xdr:col>26</xdr:col>
      <xdr:colOff>381000</xdr:colOff>
      <xdr:row>35</xdr:row>
      <xdr:rowOff>156029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/>
  <dimension ref="A1:C22"/>
  <sheetViews>
    <sheetView workbookViewId="0">
      <selection activeCell="B8" sqref="B8"/>
    </sheetView>
  </sheetViews>
  <sheetFormatPr baseColWidth="10" defaultRowHeight="15" x14ac:dyDescent="0.2"/>
  <cols>
    <col min="1" max="1" width="22.83203125" bestFit="1" customWidth="1"/>
  </cols>
  <sheetData>
    <row r="1" spans="1:3" x14ac:dyDescent="0.2">
      <c r="A1" t="s">
        <v>0</v>
      </c>
      <c r="B1" s="1">
        <v>44805</v>
      </c>
    </row>
    <row r="2" spans="1:3" x14ac:dyDescent="0.2">
      <c r="A2" t="s">
        <v>1</v>
      </c>
      <c r="B2" s="1">
        <v>45108</v>
      </c>
    </row>
    <row r="3" spans="1:3" x14ac:dyDescent="0.2">
      <c r="A3" t="s">
        <v>2</v>
      </c>
      <c r="B3">
        <v>100</v>
      </c>
    </row>
    <row r="4" spans="1:3" x14ac:dyDescent="0.2">
      <c r="A4" t="s">
        <v>13</v>
      </c>
      <c r="B4">
        <v>100</v>
      </c>
    </row>
    <row r="5" spans="1:3" x14ac:dyDescent="0.2">
      <c r="A5" t="s">
        <v>3</v>
      </c>
      <c r="B5" s="3">
        <v>0.02</v>
      </c>
    </row>
    <row r="6" spans="1:3" x14ac:dyDescent="0.2">
      <c r="A6" t="s">
        <v>4</v>
      </c>
      <c r="B6" s="3">
        <v>0.2</v>
      </c>
    </row>
    <row r="7" spans="1:3" x14ac:dyDescent="0.2">
      <c r="A7" t="s">
        <v>5</v>
      </c>
      <c r="B7">
        <v>100</v>
      </c>
    </row>
    <row r="8" spans="1:3" x14ac:dyDescent="0.2">
      <c r="A8" t="s">
        <v>8</v>
      </c>
      <c r="B8">
        <f>(B2-B1)/(365*B7)</f>
        <v>8.3013698630136981E-3</v>
      </c>
    </row>
    <row r="9" spans="1:3" x14ac:dyDescent="0.2">
      <c r="A9" t="s">
        <v>6</v>
      </c>
      <c r="B9" s="1">
        <v>44986</v>
      </c>
    </row>
    <row r="10" spans="1:3" x14ac:dyDescent="0.2">
      <c r="A10" t="s">
        <v>7</v>
      </c>
      <c r="B10">
        <v>9</v>
      </c>
    </row>
    <row r="11" spans="1:3" x14ac:dyDescent="0.2">
      <c r="A11" t="s">
        <v>14</v>
      </c>
      <c r="B11">
        <f>ROUNDUP((Div_date-Pricing_date)*Nb_steps/(Maturity_date-Pricing_date),0)</f>
        <v>60</v>
      </c>
    </row>
    <row r="12" spans="1:3" x14ac:dyDescent="0.2">
      <c r="A12" t="s">
        <v>9</v>
      </c>
      <c r="B12">
        <f>EXP(B5*B8+B6*SQRT(3*B8))</f>
        <v>1.032236801248767</v>
      </c>
    </row>
    <row r="13" spans="1:3" x14ac:dyDescent="0.2">
      <c r="A13" t="s">
        <v>10</v>
      </c>
      <c r="B13">
        <f>SQRT(3)</f>
        <v>1.7320508075688772</v>
      </c>
    </row>
    <row r="14" spans="1:3" x14ac:dyDescent="0.2">
      <c r="A14" t="s">
        <v>17</v>
      </c>
      <c r="B14" s="4">
        <f>10^(-8)</f>
        <v>1E-8</v>
      </c>
    </row>
    <row r="16" spans="1:3" x14ac:dyDescent="0.2">
      <c r="A16" t="s">
        <v>16</v>
      </c>
      <c r="B16" t="b">
        <v>0</v>
      </c>
      <c r="C16" t="s">
        <v>2569</v>
      </c>
    </row>
    <row r="17" spans="1:3" x14ac:dyDescent="0.2">
      <c r="A17" t="s">
        <v>12</v>
      </c>
      <c r="B17" t="s">
        <v>19</v>
      </c>
    </row>
    <row r="18" spans="1:3" ht="16" thickBot="1" x14ac:dyDescent="0.25">
      <c r="A18" t="s">
        <v>15</v>
      </c>
      <c r="B18" t="b">
        <v>0</v>
      </c>
      <c r="C18" s="5" t="s">
        <v>2568</v>
      </c>
    </row>
    <row r="19" spans="1:3" x14ac:dyDescent="0.2">
      <c r="A19" s="8" t="s">
        <v>20</v>
      </c>
      <c r="B19" s="9">
        <v>4.1724506490142081</v>
      </c>
    </row>
    <row r="20" spans="1:3" ht="16" thickBot="1" x14ac:dyDescent="0.25">
      <c r="A20" s="6" t="s">
        <v>2567</v>
      </c>
      <c r="B20" s="7">
        <f>IF(Type="Call",Stock_price*_xlfn.NORM.DIST((LN(Stock_price/Strike)+(Interest_rate+(Volatility^2)/2)*((Maturity_date-Pricing_date)/365))/(Volatility*SQRT(((Maturity_date-Pricing_date)/365))),0,1,TRUE)-Strike*EXP(-Interest_rate*((Maturity_date-Pricing_date)/365))*(_xlfn.NORM.DIST(((LN(Stock_price/Strike)+(Interest_rate+(Volatility^2)/2)*((Maturity_date-Pricing_date)/365))/(Volatility*SQRT(((Maturity_date-Pricing_date)/365))))-Volatility*SQRT(((Maturity_date-Pricing_date)/365)),0,1,TRUE)),(Stock_price*_xlfn.NORM.DIST((LN(Stock_price/Strike)+(Interest_rate+(Volatility^2)/2)*((Maturity_date-Pricing_date)/365))/(Volatility*SQRT(((Maturity_date-Pricing_date)/365))),0,1,TRUE)-Strike*EXP(-Interest_rate*((Maturity_date-Pricing_date)/365))*(_xlfn.NORM.DIST(((LN(Stock_price/Strike)+(Interest_rate+(Volatility^2)/2)*((Maturity_date-Pricing_date)/365))/(Volatility*SQRT(((Maturity_date-Pricing_date)/365))))-Volatility*SQRT(((Maturity_date-Pricing_date)/365)),0,1,TRUE)))-(Stock_price-(Strike/(1+Interest_rate)^((Maturity_date-Pricing_date)/365))))</f>
        <v>8.0529252507678706</v>
      </c>
    </row>
    <row r="22" spans="1:3" x14ac:dyDescent="0.2">
      <c r="A22" t="s">
        <v>21</v>
      </c>
      <c r="B22" t="b">
        <v>0</v>
      </c>
      <c r="C22" s="5" t="s">
        <v>2566</v>
      </c>
    </row>
  </sheetData>
  <dataValidations count="2">
    <dataValidation type="list" showInputMessage="1" showErrorMessage="1" sqref="B17">
      <formula1>Option_types</formula1>
    </dataValidation>
    <dataValidation type="list" showInputMessage="1" showErrorMessage="1" sqref="B16 B18 B22">
      <formula1>True_False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/>
  <dimension ref="A1:B2"/>
  <sheetViews>
    <sheetView workbookViewId="0">
      <selection activeCell="B1" sqref="B1:B2"/>
    </sheetView>
  </sheetViews>
  <sheetFormatPr baseColWidth="10" defaultRowHeight="15" x14ac:dyDescent="0.2"/>
  <sheetData>
    <row r="1" spans="1:2" x14ac:dyDescent="0.2">
      <c r="A1" t="s">
        <v>18</v>
      </c>
      <c r="B1" t="b">
        <v>1</v>
      </c>
    </row>
    <row r="2" spans="1:2" x14ac:dyDescent="0.2">
      <c r="A2" t="s">
        <v>19</v>
      </c>
      <c r="B2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enableFormatConditionsCalculation="0"/>
  <dimension ref="A1:CU201"/>
  <sheetViews>
    <sheetView topLeftCell="BC121" zoomScale="80" zoomScaleNormal="50" workbookViewId="0">
      <selection activeCell="AM99" sqref="AM99"/>
    </sheetView>
  </sheetViews>
  <sheetFormatPr baseColWidth="10" defaultRowHeight="15" x14ac:dyDescent="0.2"/>
  <cols>
    <col min="1" max="1" width="22.5" bestFit="1" customWidth="1"/>
    <col min="2" max="2" width="4" customWidth="1"/>
    <col min="3" max="3" width="25" bestFit="1" customWidth="1"/>
    <col min="4" max="4" width="4" customWidth="1"/>
    <col min="5" max="5" width="25" bestFit="1" customWidth="1"/>
    <col min="6" max="6" width="4" customWidth="1"/>
    <col min="7" max="7" width="25" bestFit="1" customWidth="1"/>
    <col min="8" max="8" width="4" customWidth="1"/>
    <col min="9" max="9" width="25" bestFit="1" customWidth="1"/>
    <col min="10" max="10" width="4" customWidth="1"/>
    <col min="11" max="11" width="25" bestFit="1" customWidth="1"/>
    <col min="12" max="12" width="4" customWidth="1"/>
    <col min="13" max="13" width="25" bestFit="1" customWidth="1"/>
    <col min="14" max="14" width="4" customWidth="1"/>
    <col min="15" max="15" width="25" bestFit="1" customWidth="1"/>
    <col min="16" max="16" width="4" customWidth="1"/>
    <col min="17" max="17" width="25" bestFit="1" customWidth="1"/>
    <col min="18" max="18" width="4" customWidth="1"/>
    <col min="19" max="19" width="25" bestFit="1" customWidth="1"/>
    <col min="20" max="20" width="4" customWidth="1"/>
    <col min="21" max="21" width="26" bestFit="1" customWidth="1"/>
    <col min="22" max="22" width="4" customWidth="1"/>
    <col min="23" max="23" width="26" bestFit="1" customWidth="1"/>
    <col min="24" max="24" width="4" customWidth="1"/>
    <col min="25" max="25" width="26" bestFit="1" customWidth="1"/>
    <col min="26" max="26" width="4" customWidth="1"/>
    <col min="27" max="27" width="26" bestFit="1" customWidth="1"/>
    <col min="28" max="28" width="4" customWidth="1"/>
    <col min="29" max="29" width="26" bestFit="1" customWidth="1"/>
    <col min="30" max="30" width="4" customWidth="1"/>
    <col min="31" max="31" width="26" bestFit="1" customWidth="1"/>
    <col min="32" max="32" width="4" customWidth="1"/>
    <col min="33" max="33" width="26" bestFit="1" customWidth="1"/>
    <col min="34" max="34" width="4" customWidth="1"/>
    <col min="35" max="35" width="26" bestFit="1" customWidth="1"/>
    <col min="36" max="36" width="4" customWidth="1"/>
    <col min="37" max="37" width="26" bestFit="1" customWidth="1"/>
    <col min="38" max="38" width="4" customWidth="1"/>
    <col min="39" max="39" width="26" bestFit="1" customWidth="1"/>
    <col min="40" max="40" width="4" customWidth="1"/>
    <col min="41" max="41" width="26" bestFit="1" customWidth="1"/>
    <col min="42" max="42" width="4" customWidth="1"/>
    <col min="43" max="43" width="26" bestFit="1" customWidth="1"/>
    <col min="44" max="44" width="4" customWidth="1"/>
    <col min="45" max="45" width="26" bestFit="1" customWidth="1"/>
    <col min="46" max="46" width="4" customWidth="1"/>
    <col min="47" max="47" width="26" bestFit="1" customWidth="1"/>
    <col min="48" max="48" width="4" customWidth="1"/>
    <col min="49" max="49" width="26" bestFit="1" customWidth="1"/>
    <col min="50" max="50" width="4" customWidth="1"/>
    <col min="51" max="51" width="26" bestFit="1" customWidth="1"/>
    <col min="52" max="52" width="4" customWidth="1"/>
    <col min="53" max="53" width="26" bestFit="1" customWidth="1"/>
    <col min="54" max="54" width="4" customWidth="1"/>
    <col min="55" max="55" width="26" bestFit="1" customWidth="1"/>
    <col min="56" max="56" width="4" customWidth="1"/>
    <col min="57" max="57" width="26" bestFit="1" customWidth="1"/>
    <col min="58" max="58" width="4" customWidth="1"/>
    <col min="59" max="59" width="26" bestFit="1" customWidth="1"/>
    <col min="60" max="60" width="4" customWidth="1"/>
    <col min="61" max="61" width="26" bestFit="1" customWidth="1"/>
    <col min="62" max="62" width="4" customWidth="1"/>
    <col min="63" max="63" width="27.1640625" bestFit="1" customWidth="1"/>
    <col min="64" max="64" width="4" customWidth="1"/>
    <col min="65" max="65" width="27.1640625" bestFit="1" customWidth="1"/>
    <col min="66" max="66" width="4" customWidth="1"/>
    <col min="67" max="67" width="28.1640625" bestFit="1" customWidth="1"/>
    <col min="68" max="68" width="4" customWidth="1"/>
    <col min="69" max="69" width="28.1640625" bestFit="1" customWidth="1"/>
    <col min="70" max="70" width="4" customWidth="1"/>
    <col min="71" max="71" width="28.1640625" bestFit="1" customWidth="1"/>
    <col min="72" max="72" width="4" customWidth="1"/>
    <col min="73" max="73" width="28.1640625" bestFit="1" customWidth="1"/>
    <col min="74" max="74" width="4" customWidth="1"/>
    <col min="75" max="75" width="28.1640625" bestFit="1" customWidth="1"/>
    <col min="76" max="76" width="4" customWidth="1"/>
    <col min="77" max="77" width="28.1640625" bestFit="1" customWidth="1"/>
    <col min="78" max="78" width="4" customWidth="1"/>
    <col min="79" max="79" width="28.1640625" bestFit="1" customWidth="1"/>
    <col min="80" max="80" width="4" customWidth="1"/>
    <col min="81" max="81" width="28.1640625" bestFit="1" customWidth="1"/>
    <col min="82" max="82" width="4" customWidth="1"/>
    <col min="83" max="83" width="28.1640625" bestFit="1" customWidth="1"/>
    <col min="84" max="84" width="4" customWidth="1"/>
    <col min="85" max="85" width="28.1640625" bestFit="1" customWidth="1"/>
    <col min="86" max="86" width="4" customWidth="1"/>
    <col min="87" max="87" width="28.1640625" bestFit="1" customWidth="1"/>
    <col min="88" max="88" width="4" customWidth="1"/>
    <col min="89" max="89" width="28.1640625" bestFit="1" customWidth="1"/>
    <col min="90" max="90" width="4" customWidth="1"/>
    <col min="91" max="91" width="28.1640625" bestFit="1" customWidth="1"/>
    <col min="92" max="92" width="4" customWidth="1"/>
    <col min="93" max="93" width="28.1640625" bestFit="1" customWidth="1"/>
    <col min="94" max="94" width="4" customWidth="1"/>
    <col min="95" max="95" width="28.1640625" bestFit="1" customWidth="1"/>
    <col min="96" max="96" width="4" customWidth="1"/>
    <col min="97" max="97" width="28.1640625" bestFit="1" customWidth="1"/>
    <col min="98" max="98" width="4" customWidth="1"/>
    <col min="99" max="99" width="20.5" bestFit="1" customWidth="1"/>
    <col min="100" max="100" width="4" customWidth="1"/>
  </cols>
  <sheetData>
    <row r="1" spans="85:99" x14ac:dyDescent="0.2">
      <c r="CU1" s="2" t="s">
        <v>885</v>
      </c>
    </row>
    <row r="3" spans="85:99" x14ac:dyDescent="0.2">
      <c r="CS3" s="2" t="s">
        <v>884</v>
      </c>
      <c r="CU3" s="2" t="s">
        <v>2466</v>
      </c>
    </row>
    <row r="5" spans="85:99" x14ac:dyDescent="0.2">
      <c r="CQ5" s="2" t="s">
        <v>883</v>
      </c>
      <c r="CS5" s="2" t="s">
        <v>2368</v>
      </c>
      <c r="CU5" s="2" t="s">
        <v>2467</v>
      </c>
    </row>
    <row r="7" spans="85:99" x14ac:dyDescent="0.2">
      <c r="CO7" s="2" t="s">
        <v>882</v>
      </c>
      <c r="CQ7" s="2" t="s">
        <v>2272</v>
      </c>
      <c r="CS7" s="2" t="s">
        <v>2369</v>
      </c>
      <c r="CU7" s="2" t="s">
        <v>2468</v>
      </c>
    </row>
    <row r="9" spans="85:99" x14ac:dyDescent="0.2">
      <c r="CM9" s="2" t="s">
        <v>881</v>
      </c>
      <c r="CO9" s="2" t="s">
        <v>2178</v>
      </c>
      <c r="CQ9" s="2" t="s">
        <v>2273</v>
      </c>
      <c r="CS9" s="2" t="s">
        <v>2370</v>
      </c>
      <c r="CU9" s="2" t="s">
        <v>2469</v>
      </c>
    </row>
    <row r="11" spans="85:99" x14ac:dyDescent="0.2">
      <c r="CK11" s="2" t="s">
        <v>880</v>
      </c>
      <c r="CM11" s="2" t="s">
        <v>2086</v>
      </c>
      <c r="CO11" s="2" t="s">
        <v>2179</v>
      </c>
      <c r="CQ11" s="2" t="s">
        <v>2274</v>
      </c>
      <c r="CS11" s="2" t="s">
        <v>2371</v>
      </c>
      <c r="CU11" s="2" t="s">
        <v>2470</v>
      </c>
    </row>
    <row r="13" spans="85:99" x14ac:dyDescent="0.2">
      <c r="CI13" s="2" t="s">
        <v>879</v>
      </c>
      <c r="CK13" s="2" t="s">
        <v>1996</v>
      </c>
      <c r="CM13" s="2" t="s">
        <v>2087</v>
      </c>
      <c r="CO13" s="2" t="s">
        <v>2180</v>
      </c>
      <c r="CQ13" s="2" t="s">
        <v>2275</v>
      </c>
      <c r="CS13" s="2" t="s">
        <v>2372</v>
      </c>
      <c r="CU13" s="2" t="s">
        <v>2471</v>
      </c>
    </row>
    <row r="15" spans="85:99" x14ac:dyDescent="0.2">
      <c r="CG15" s="2" t="s">
        <v>878</v>
      </c>
      <c r="CI15" s="2" t="s">
        <v>1908</v>
      </c>
      <c r="CK15" s="2" t="s">
        <v>1997</v>
      </c>
      <c r="CM15" s="2" t="s">
        <v>2088</v>
      </c>
      <c r="CO15" s="2" t="s">
        <v>2181</v>
      </c>
      <c r="CQ15" s="2" t="s">
        <v>2276</v>
      </c>
      <c r="CS15" s="2" t="s">
        <v>2373</v>
      </c>
      <c r="CU15" s="2" t="s">
        <v>2472</v>
      </c>
    </row>
    <row r="17" spans="69:99" x14ac:dyDescent="0.2">
      <c r="CE17" s="2" t="s">
        <v>877</v>
      </c>
      <c r="CG17" s="2" t="s">
        <v>1822</v>
      </c>
      <c r="CI17" s="2" t="s">
        <v>1909</v>
      </c>
      <c r="CK17" s="2" t="s">
        <v>1998</v>
      </c>
      <c r="CM17" s="2" t="s">
        <v>2089</v>
      </c>
      <c r="CO17" s="2" t="s">
        <v>2182</v>
      </c>
      <c r="CQ17" s="2" t="s">
        <v>2277</v>
      </c>
      <c r="CS17" s="2" t="s">
        <v>2374</v>
      </c>
      <c r="CU17" s="2" t="s">
        <v>2473</v>
      </c>
    </row>
    <row r="19" spans="69:99" x14ac:dyDescent="0.2">
      <c r="CC19" s="2" t="s">
        <v>876</v>
      </c>
      <c r="CE19" s="2" t="s">
        <v>1738</v>
      </c>
      <c r="CG19" s="2" t="s">
        <v>1823</v>
      </c>
      <c r="CI19" s="2" t="s">
        <v>1910</v>
      </c>
      <c r="CK19" s="2" t="s">
        <v>1999</v>
      </c>
      <c r="CM19" s="2" t="s">
        <v>2090</v>
      </c>
      <c r="CO19" s="2" t="s">
        <v>2183</v>
      </c>
      <c r="CQ19" s="2" t="s">
        <v>2278</v>
      </c>
      <c r="CS19" s="2" t="s">
        <v>2375</v>
      </c>
      <c r="CU19" s="2" t="s">
        <v>2474</v>
      </c>
    </row>
    <row r="21" spans="69:99" x14ac:dyDescent="0.2">
      <c r="CA21" s="2" t="s">
        <v>875</v>
      </c>
      <c r="CC21" s="2" t="s">
        <v>1656</v>
      </c>
      <c r="CE21" s="2" t="s">
        <v>1739</v>
      </c>
      <c r="CG21" s="2" t="s">
        <v>1824</v>
      </c>
      <c r="CI21" s="2" t="s">
        <v>1911</v>
      </c>
      <c r="CK21" s="2" t="s">
        <v>2000</v>
      </c>
      <c r="CM21" s="2" t="s">
        <v>2091</v>
      </c>
      <c r="CO21" s="2" t="s">
        <v>2184</v>
      </c>
      <c r="CQ21" s="2" t="s">
        <v>2279</v>
      </c>
      <c r="CS21" s="2" t="s">
        <v>2376</v>
      </c>
      <c r="CU21" s="2" t="s">
        <v>2475</v>
      </c>
    </row>
    <row r="23" spans="69:99" x14ac:dyDescent="0.2">
      <c r="BY23" s="2" t="s">
        <v>874</v>
      </c>
      <c r="CA23" s="2" t="s">
        <v>1576</v>
      </c>
      <c r="CC23" s="2" t="s">
        <v>1657</v>
      </c>
      <c r="CE23" s="2" t="s">
        <v>1740</v>
      </c>
      <c r="CG23" s="2" t="s">
        <v>1825</v>
      </c>
      <c r="CI23" s="2" t="s">
        <v>1912</v>
      </c>
      <c r="CK23" s="2" t="s">
        <v>2001</v>
      </c>
      <c r="CM23" s="2" t="s">
        <v>2092</v>
      </c>
      <c r="CO23" s="2" t="s">
        <v>2185</v>
      </c>
      <c r="CQ23" s="2" t="s">
        <v>2280</v>
      </c>
      <c r="CS23" s="2" t="s">
        <v>2377</v>
      </c>
      <c r="CU23" s="2" t="s">
        <v>2476</v>
      </c>
    </row>
    <row r="25" spans="69:99" x14ac:dyDescent="0.2">
      <c r="BW25" s="2" t="s">
        <v>873</v>
      </c>
      <c r="BY25" s="2" t="s">
        <v>1498</v>
      </c>
      <c r="CA25" s="2" t="s">
        <v>1577</v>
      </c>
      <c r="CC25" s="2" t="s">
        <v>1658</v>
      </c>
      <c r="CE25" s="2" t="s">
        <v>1741</v>
      </c>
      <c r="CG25" s="2" t="s">
        <v>1826</v>
      </c>
      <c r="CI25" s="2" t="s">
        <v>1913</v>
      </c>
      <c r="CK25" s="2" t="s">
        <v>2002</v>
      </c>
      <c r="CM25" s="2" t="s">
        <v>2093</v>
      </c>
      <c r="CO25" s="2" t="s">
        <v>2186</v>
      </c>
      <c r="CQ25" s="2" t="s">
        <v>2281</v>
      </c>
      <c r="CS25" s="2" t="s">
        <v>2378</v>
      </c>
      <c r="CU25" s="2" t="s">
        <v>2477</v>
      </c>
    </row>
    <row r="27" spans="69:99" x14ac:dyDescent="0.2">
      <c r="BU27" s="2" t="s">
        <v>872</v>
      </c>
      <c r="BW27" s="2" t="s">
        <v>1422</v>
      </c>
      <c r="BY27" s="2" t="s">
        <v>1499</v>
      </c>
      <c r="CA27" s="2" t="s">
        <v>1578</v>
      </c>
      <c r="CC27" s="2" t="s">
        <v>1659</v>
      </c>
      <c r="CE27" s="2" t="s">
        <v>1742</v>
      </c>
      <c r="CG27" s="2" t="s">
        <v>1827</v>
      </c>
      <c r="CI27" s="2" t="s">
        <v>1914</v>
      </c>
      <c r="CK27" s="2" t="s">
        <v>2003</v>
      </c>
      <c r="CM27" s="2" t="s">
        <v>2094</v>
      </c>
      <c r="CO27" s="2" t="s">
        <v>2187</v>
      </c>
      <c r="CQ27" s="2" t="s">
        <v>2282</v>
      </c>
      <c r="CS27" s="2" t="s">
        <v>2379</v>
      </c>
      <c r="CU27" s="2" t="s">
        <v>2478</v>
      </c>
    </row>
    <row r="29" spans="69:99" x14ac:dyDescent="0.2">
      <c r="BS29" s="2" t="s">
        <v>871</v>
      </c>
      <c r="BU29" s="2" t="s">
        <v>1348</v>
      </c>
      <c r="BW29" s="2" t="s">
        <v>1423</v>
      </c>
      <c r="BY29" s="2" t="s">
        <v>1500</v>
      </c>
      <c r="CA29" s="2" t="s">
        <v>1579</v>
      </c>
      <c r="CC29" s="2" t="s">
        <v>1660</v>
      </c>
      <c r="CE29" s="2" t="s">
        <v>1743</v>
      </c>
      <c r="CG29" s="2" t="s">
        <v>1828</v>
      </c>
      <c r="CI29" s="2" t="s">
        <v>1915</v>
      </c>
      <c r="CK29" s="2" t="s">
        <v>2004</v>
      </c>
      <c r="CM29" s="2" t="s">
        <v>2095</v>
      </c>
      <c r="CO29" s="2" t="s">
        <v>2188</v>
      </c>
      <c r="CQ29" s="2" t="s">
        <v>2283</v>
      </c>
      <c r="CS29" s="2" t="s">
        <v>2380</v>
      </c>
      <c r="CU29" s="2" t="s">
        <v>2479</v>
      </c>
    </row>
    <row r="31" spans="69:99" x14ac:dyDescent="0.2">
      <c r="BQ31" s="2" t="s">
        <v>870</v>
      </c>
      <c r="BS31" s="2" t="s">
        <v>1276</v>
      </c>
      <c r="BU31" s="2" t="s">
        <v>1349</v>
      </c>
      <c r="BW31" s="2" t="s">
        <v>1424</v>
      </c>
      <c r="BY31" s="2" t="s">
        <v>1501</v>
      </c>
      <c r="CA31" s="2" t="s">
        <v>1580</v>
      </c>
      <c r="CC31" s="2" t="s">
        <v>1661</v>
      </c>
      <c r="CE31" s="2" t="s">
        <v>1744</v>
      </c>
      <c r="CG31" s="2" t="s">
        <v>1829</v>
      </c>
      <c r="CI31" s="2" t="s">
        <v>1916</v>
      </c>
      <c r="CK31" s="2" t="s">
        <v>2005</v>
      </c>
      <c r="CM31" s="2" t="s">
        <v>2096</v>
      </c>
      <c r="CO31" s="2" t="s">
        <v>2189</v>
      </c>
      <c r="CQ31" s="2" t="s">
        <v>2284</v>
      </c>
      <c r="CS31" s="2" t="s">
        <v>2381</v>
      </c>
      <c r="CU31" s="2" t="s">
        <v>2480</v>
      </c>
    </row>
    <row r="33" spans="53:99" x14ac:dyDescent="0.2">
      <c r="BO33" s="2" t="s">
        <v>869</v>
      </c>
      <c r="BQ33" s="2" t="s">
        <v>1206</v>
      </c>
      <c r="BS33" s="2" t="s">
        <v>1277</v>
      </c>
      <c r="BU33" s="2" t="s">
        <v>1350</v>
      </c>
      <c r="BW33" s="2" t="s">
        <v>1425</v>
      </c>
      <c r="BY33" s="2" t="s">
        <v>1502</v>
      </c>
      <c r="CA33" s="2" t="s">
        <v>1581</v>
      </c>
      <c r="CC33" s="2" t="s">
        <v>1662</v>
      </c>
      <c r="CE33" s="2" t="s">
        <v>1745</v>
      </c>
      <c r="CG33" s="2" t="s">
        <v>1830</v>
      </c>
      <c r="CI33" s="2" t="s">
        <v>1917</v>
      </c>
      <c r="CK33" s="2" t="s">
        <v>2006</v>
      </c>
      <c r="CM33" s="2" t="s">
        <v>2097</v>
      </c>
      <c r="CO33" s="2" t="s">
        <v>2190</v>
      </c>
      <c r="CQ33" s="2" t="s">
        <v>2285</v>
      </c>
      <c r="CS33" s="2" t="s">
        <v>2382</v>
      </c>
      <c r="CU33" s="2" t="s">
        <v>2481</v>
      </c>
    </row>
    <row r="35" spans="53:99" x14ac:dyDescent="0.2">
      <c r="BM35" s="2" t="s">
        <v>868</v>
      </c>
      <c r="BO35" s="2" t="s">
        <v>1138</v>
      </c>
      <c r="BQ35" s="2" t="s">
        <v>1207</v>
      </c>
      <c r="BS35" s="2" t="s">
        <v>1278</v>
      </c>
      <c r="BU35" s="2" t="s">
        <v>1351</v>
      </c>
      <c r="BW35" s="2" t="s">
        <v>1426</v>
      </c>
      <c r="BY35" s="2" t="s">
        <v>1503</v>
      </c>
      <c r="CA35" s="2" t="s">
        <v>1582</v>
      </c>
      <c r="CC35" s="2" t="s">
        <v>1663</v>
      </c>
      <c r="CE35" s="2" t="s">
        <v>1746</v>
      </c>
      <c r="CG35" s="2" t="s">
        <v>1831</v>
      </c>
      <c r="CI35" s="2" t="s">
        <v>1918</v>
      </c>
      <c r="CK35" s="2" t="s">
        <v>2007</v>
      </c>
      <c r="CM35" s="2" t="s">
        <v>2098</v>
      </c>
      <c r="CO35" s="2" t="s">
        <v>2191</v>
      </c>
      <c r="CQ35" s="2" t="s">
        <v>2286</v>
      </c>
      <c r="CS35" s="2" t="s">
        <v>2383</v>
      </c>
      <c r="CU35" s="2" t="s">
        <v>2482</v>
      </c>
    </row>
    <row r="37" spans="53:99" x14ac:dyDescent="0.2">
      <c r="BK37" s="2" t="s">
        <v>867</v>
      </c>
      <c r="BM37" s="2" t="s">
        <v>1072</v>
      </c>
      <c r="BO37" s="2" t="s">
        <v>1139</v>
      </c>
      <c r="BQ37" s="2" t="s">
        <v>1208</v>
      </c>
      <c r="BS37" s="2" t="s">
        <v>1279</v>
      </c>
      <c r="BU37" s="2" t="s">
        <v>1352</v>
      </c>
      <c r="BW37" s="2" t="s">
        <v>1427</v>
      </c>
      <c r="BY37" s="2" t="s">
        <v>1504</v>
      </c>
      <c r="CA37" s="2" t="s">
        <v>1583</v>
      </c>
      <c r="CC37" s="2" t="s">
        <v>1664</v>
      </c>
      <c r="CE37" s="2" t="s">
        <v>1747</v>
      </c>
      <c r="CG37" s="2" t="s">
        <v>1832</v>
      </c>
      <c r="CI37" s="2" t="s">
        <v>1919</v>
      </c>
      <c r="CK37" s="2" t="s">
        <v>2008</v>
      </c>
      <c r="CM37" s="2" t="s">
        <v>2099</v>
      </c>
      <c r="CO37" s="2" t="s">
        <v>2192</v>
      </c>
      <c r="CQ37" s="2" t="s">
        <v>2287</v>
      </c>
      <c r="CS37" s="2" t="s">
        <v>2384</v>
      </c>
      <c r="CU37" s="2" t="s">
        <v>2483</v>
      </c>
    </row>
    <row r="39" spans="53:99" x14ac:dyDescent="0.2">
      <c r="BI39" s="2" t="s">
        <v>866</v>
      </c>
      <c r="BK39" s="2" t="s">
        <v>1008</v>
      </c>
      <c r="BM39" s="2" t="s">
        <v>1073</v>
      </c>
      <c r="BO39" s="2" t="s">
        <v>1140</v>
      </c>
      <c r="BQ39" s="2" t="s">
        <v>1209</v>
      </c>
      <c r="BS39" s="2" t="s">
        <v>1280</v>
      </c>
      <c r="BU39" s="2" t="s">
        <v>1353</v>
      </c>
      <c r="BW39" s="2" t="s">
        <v>1428</v>
      </c>
      <c r="BY39" s="2" t="s">
        <v>1505</v>
      </c>
      <c r="CA39" s="2" t="s">
        <v>1584</v>
      </c>
      <c r="CC39" s="2" t="s">
        <v>1665</v>
      </c>
      <c r="CE39" s="2" t="s">
        <v>1748</v>
      </c>
      <c r="CG39" s="2" t="s">
        <v>1833</v>
      </c>
      <c r="CI39" s="2" t="s">
        <v>1920</v>
      </c>
      <c r="CK39" s="2" t="s">
        <v>2009</v>
      </c>
      <c r="CM39" s="2" t="s">
        <v>2100</v>
      </c>
      <c r="CO39" s="2" t="s">
        <v>2193</v>
      </c>
      <c r="CQ39" s="2" t="s">
        <v>2288</v>
      </c>
      <c r="CS39" s="2" t="s">
        <v>2385</v>
      </c>
      <c r="CU39" s="2" t="s">
        <v>2484</v>
      </c>
    </row>
    <row r="41" spans="53:99" x14ac:dyDescent="0.2">
      <c r="BG41" s="2" t="s">
        <v>865</v>
      </c>
      <c r="BI41" s="2" t="s">
        <v>946</v>
      </c>
      <c r="BK41" s="2" t="s">
        <v>1009</v>
      </c>
      <c r="BM41" s="2" t="s">
        <v>1074</v>
      </c>
      <c r="BO41" s="2" t="s">
        <v>1141</v>
      </c>
      <c r="BQ41" s="2" t="s">
        <v>1210</v>
      </c>
      <c r="BS41" s="2" t="s">
        <v>1281</v>
      </c>
      <c r="BU41" s="2" t="s">
        <v>1354</v>
      </c>
      <c r="BW41" s="2" t="s">
        <v>1429</v>
      </c>
      <c r="BY41" s="2" t="s">
        <v>1506</v>
      </c>
      <c r="CA41" s="2" t="s">
        <v>1585</v>
      </c>
      <c r="CC41" s="2" t="s">
        <v>1666</v>
      </c>
      <c r="CE41" s="2" t="s">
        <v>1749</v>
      </c>
      <c r="CG41" s="2" t="s">
        <v>1834</v>
      </c>
      <c r="CI41" s="2" t="s">
        <v>1921</v>
      </c>
      <c r="CK41" s="2" t="s">
        <v>2010</v>
      </c>
      <c r="CM41" s="2" t="s">
        <v>2101</v>
      </c>
      <c r="CO41" s="2" t="s">
        <v>2194</v>
      </c>
      <c r="CQ41" s="2" t="s">
        <v>2289</v>
      </c>
      <c r="CS41" s="2" t="s">
        <v>2386</v>
      </c>
      <c r="CU41" s="2" t="s">
        <v>2485</v>
      </c>
    </row>
    <row r="43" spans="53:99" x14ac:dyDescent="0.2">
      <c r="BE43" s="2" t="s">
        <v>808</v>
      </c>
      <c r="BG43" s="2" t="s">
        <v>886</v>
      </c>
      <c r="BI43" s="2" t="s">
        <v>947</v>
      </c>
      <c r="BK43" s="2" t="s">
        <v>1010</v>
      </c>
      <c r="BM43" s="2" t="s">
        <v>1075</v>
      </c>
      <c r="BO43" s="2" t="s">
        <v>1142</v>
      </c>
      <c r="BQ43" s="2" t="s">
        <v>1211</v>
      </c>
      <c r="BS43" s="2" t="s">
        <v>1282</v>
      </c>
      <c r="BU43" s="2" t="s">
        <v>1355</v>
      </c>
      <c r="BW43" s="2" t="s">
        <v>1430</v>
      </c>
      <c r="BY43" s="2" t="s">
        <v>1507</v>
      </c>
      <c r="CA43" s="2" t="s">
        <v>1586</v>
      </c>
      <c r="CC43" s="2" t="s">
        <v>1667</v>
      </c>
      <c r="CE43" s="2" t="s">
        <v>1750</v>
      </c>
      <c r="CG43" s="2" t="s">
        <v>1835</v>
      </c>
      <c r="CI43" s="2" t="s">
        <v>1922</v>
      </c>
      <c r="CK43" s="2" t="s">
        <v>2011</v>
      </c>
      <c r="CM43" s="2" t="s">
        <v>2102</v>
      </c>
      <c r="CO43" s="2" t="s">
        <v>2195</v>
      </c>
      <c r="CQ43" s="2" t="s">
        <v>2290</v>
      </c>
      <c r="CS43" s="2" t="s">
        <v>2387</v>
      </c>
      <c r="CU43" s="2" t="s">
        <v>2486</v>
      </c>
    </row>
    <row r="45" spans="53:99" x14ac:dyDescent="0.2">
      <c r="BC45" s="2" t="s">
        <v>753</v>
      </c>
      <c r="BE45" s="2" t="s">
        <v>809</v>
      </c>
      <c r="BG45" s="2" t="s">
        <v>887</v>
      </c>
      <c r="BI45" s="2" t="s">
        <v>948</v>
      </c>
      <c r="BK45" s="2" t="s">
        <v>1011</v>
      </c>
      <c r="BM45" s="2" t="s">
        <v>1076</v>
      </c>
      <c r="BO45" s="2" t="s">
        <v>1143</v>
      </c>
      <c r="BQ45" s="2" t="s">
        <v>1212</v>
      </c>
      <c r="BS45" s="2" t="s">
        <v>1283</v>
      </c>
      <c r="BU45" s="2" t="s">
        <v>1356</v>
      </c>
      <c r="BW45" s="2" t="s">
        <v>1431</v>
      </c>
      <c r="BY45" s="2" t="s">
        <v>1508</v>
      </c>
      <c r="CA45" s="2" t="s">
        <v>1587</v>
      </c>
      <c r="CC45" s="2" t="s">
        <v>1668</v>
      </c>
      <c r="CE45" s="2" t="s">
        <v>1751</v>
      </c>
      <c r="CG45" s="2" t="s">
        <v>1836</v>
      </c>
      <c r="CI45" s="2" t="s">
        <v>1923</v>
      </c>
      <c r="CK45" s="2" t="s">
        <v>2012</v>
      </c>
      <c r="CM45" s="2" t="s">
        <v>2103</v>
      </c>
      <c r="CO45" s="2" t="s">
        <v>2196</v>
      </c>
      <c r="CQ45" s="2" t="s">
        <v>2291</v>
      </c>
      <c r="CS45" s="2" t="s">
        <v>2388</v>
      </c>
      <c r="CU45" s="2" t="s">
        <v>2487</v>
      </c>
    </row>
    <row r="47" spans="53:99" x14ac:dyDescent="0.2">
      <c r="BA47" s="2" t="s">
        <v>700</v>
      </c>
      <c r="BC47" s="2" t="s">
        <v>754</v>
      </c>
      <c r="BE47" s="2" t="s">
        <v>810</v>
      </c>
      <c r="BG47" s="2" t="s">
        <v>888</v>
      </c>
      <c r="BI47" s="2" t="s">
        <v>949</v>
      </c>
      <c r="BK47" s="2" t="s">
        <v>1012</v>
      </c>
      <c r="BM47" s="2" t="s">
        <v>1077</v>
      </c>
      <c r="BO47" s="2" t="s">
        <v>1144</v>
      </c>
      <c r="BQ47" s="2" t="s">
        <v>1213</v>
      </c>
      <c r="BS47" s="2" t="s">
        <v>1284</v>
      </c>
      <c r="BU47" s="2" t="s">
        <v>1357</v>
      </c>
      <c r="BW47" s="2" t="s">
        <v>1432</v>
      </c>
      <c r="BY47" s="2" t="s">
        <v>1509</v>
      </c>
      <c r="CA47" s="2" t="s">
        <v>1588</v>
      </c>
      <c r="CC47" s="2" t="s">
        <v>1669</v>
      </c>
      <c r="CE47" s="2" t="s">
        <v>1752</v>
      </c>
      <c r="CG47" s="2" t="s">
        <v>1837</v>
      </c>
      <c r="CI47" s="2" t="s">
        <v>1924</v>
      </c>
      <c r="CK47" s="2" t="s">
        <v>2013</v>
      </c>
      <c r="CM47" s="2" t="s">
        <v>2104</v>
      </c>
      <c r="CO47" s="2" t="s">
        <v>2197</v>
      </c>
      <c r="CQ47" s="2" t="s">
        <v>2292</v>
      </c>
      <c r="CS47" s="2" t="s">
        <v>2389</v>
      </c>
      <c r="CU47" s="2" t="s">
        <v>2488</v>
      </c>
    </row>
    <row r="49" spans="37:99" x14ac:dyDescent="0.2">
      <c r="AY49" s="2" t="s">
        <v>649</v>
      </c>
      <c r="BA49" s="2" t="s">
        <v>701</v>
      </c>
      <c r="BC49" s="2" t="s">
        <v>755</v>
      </c>
      <c r="BE49" s="2" t="s">
        <v>811</v>
      </c>
      <c r="BG49" s="2" t="s">
        <v>889</v>
      </c>
      <c r="BI49" s="2" t="s">
        <v>950</v>
      </c>
      <c r="BK49" s="2" t="s">
        <v>1013</v>
      </c>
      <c r="BM49" s="2" t="s">
        <v>1078</v>
      </c>
      <c r="BO49" s="2" t="s">
        <v>1145</v>
      </c>
      <c r="BQ49" s="2" t="s">
        <v>1214</v>
      </c>
      <c r="BS49" s="2" t="s">
        <v>1285</v>
      </c>
      <c r="BU49" s="2" t="s">
        <v>1358</v>
      </c>
      <c r="BW49" s="2" t="s">
        <v>1433</v>
      </c>
      <c r="BY49" s="2" t="s">
        <v>1510</v>
      </c>
      <c r="CA49" s="2" t="s">
        <v>1589</v>
      </c>
      <c r="CC49" s="2" t="s">
        <v>1670</v>
      </c>
      <c r="CE49" s="2" t="s">
        <v>1753</v>
      </c>
      <c r="CG49" s="2" t="s">
        <v>1838</v>
      </c>
      <c r="CI49" s="2" t="s">
        <v>1925</v>
      </c>
      <c r="CK49" s="2" t="s">
        <v>2014</v>
      </c>
      <c r="CM49" s="2" t="s">
        <v>2105</v>
      </c>
      <c r="CO49" s="2" t="s">
        <v>2198</v>
      </c>
      <c r="CQ49" s="2" t="s">
        <v>2293</v>
      </c>
      <c r="CS49" s="2" t="s">
        <v>2390</v>
      </c>
      <c r="CU49" s="2" t="s">
        <v>2489</v>
      </c>
    </row>
    <row r="51" spans="37:99" x14ac:dyDescent="0.2">
      <c r="AW51" s="2" t="s">
        <v>600</v>
      </c>
      <c r="AY51" s="2" t="s">
        <v>650</v>
      </c>
      <c r="BA51" s="2" t="s">
        <v>702</v>
      </c>
      <c r="BC51" s="2" t="s">
        <v>756</v>
      </c>
      <c r="BE51" s="2" t="s">
        <v>812</v>
      </c>
      <c r="BG51" s="2" t="s">
        <v>890</v>
      </c>
      <c r="BI51" s="2" t="s">
        <v>951</v>
      </c>
      <c r="BK51" s="2" t="s">
        <v>1014</v>
      </c>
      <c r="BM51" s="2" t="s">
        <v>1079</v>
      </c>
      <c r="BO51" s="2" t="s">
        <v>1146</v>
      </c>
      <c r="BQ51" s="2" t="s">
        <v>1215</v>
      </c>
      <c r="BS51" s="2" t="s">
        <v>1286</v>
      </c>
      <c r="BU51" s="2" t="s">
        <v>1359</v>
      </c>
      <c r="BW51" s="2" t="s">
        <v>1434</v>
      </c>
      <c r="BY51" s="2" t="s">
        <v>1511</v>
      </c>
      <c r="CA51" s="2" t="s">
        <v>1590</v>
      </c>
      <c r="CC51" s="2" t="s">
        <v>1671</v>
      </c>
      <c r="CE51" s="2" t="s">
        <v>1754</v>
      </c>
      <c r="CG51" s="2" t="s">
        <v>1839</v>
      </c>
      <c r="CI51" s="2" t="s">
        <v>1926</v>
      </c>
      <c r="CK51" s="2" t="s">
        <v>2015</v>
      </c>
      <c r="CM51" s="2" t="s">
        <v>2106</v>
      </c>
      <c r="CO51" s="2" t="s">
        <v>2199</v>
      </c>
      <c r="CQ51" s="2" t="s">
        <v>2294</v>
      </c>
      <c r="CS51" s="2" t="s">
        <v>2391</v>
      </c>
      <c r="CU51" s="2" t="s">
        <v>2490</v>
      </c>
    </row>
    <row r="53" spans="37:99" x14ac:dyDescent="0.2">
      <c r="AU53" s="2" t="s">
        <v>553</v>
      </c>
      <c r="AW53" s="2" t="s">
        <v>601</v>
      </c>
      <c r="AY53" s="2" t="s">
        <v>651</v>
      </c>
      <c r="BA53" s="2" t="s">
        <v>703</v>
      </c>
      <c r="BC53" s="2" t="s">
        <v>757</v>
      </c>
      <c r="BE53" s="2" t="s">
        <v>813</v>
      </c>
      <c r="BG53" s="2" t="s">
        <v>891</v>
      </c>
      <c r="BI53" s="2" t="s">
        <v>952</v>
      </c>
      <c r="BK53" s="2" t="s">
        <v>1015</v>
      </c>
      <c r="BM53" s="2" t="s">
        <v>1080</v>
      </c>
      <c r="BO53" s="2" t="s">
        <v>1147</v>
      </c>
      <c r="BQ53" s="2" t="s">
        <v>1216</v>
      </c>
      <c r="BS53" s="2" t="s">
        <v>1287</v>
      </c>
      <c r="BU53" s="2" t="s">
        <v>1360</v>
      </c>
      <c r="BW53" s="2" t="s">
        <v>1435</v>
      </c>
      <c r="BY53" s="2" t="s">
        <v>1512</v>
      </c>
      <c r="CA53" s="2" t="s">
        <v>1591</v>
      </c>
      <c r="CC53" s="2" t="s">
        <v>1672</v>
      </c>
      <c r="CE53" s="2" t="s">
        <v>1755</v>
      </c>
      <c r="CG53" s="2" t="s">
        <v>1840</v>
      </c>
      <c r="CI53" s="2" t="s">
        <v>1927</v>
      </c>
      <c r="CK53" s="2" t="s">
        <v>2016</v>
      </c>
      <c r="CM53" s="2" t="s">
        <v>2107</v>
      </c>
      <c r="CO53" s="2" t="s">
        <v>2200</v>
      </c>
      <c r="CQ53" s="2" t="s">
        <v>2295</v>
      </c>
      <c r="CS53" s="2" t="s">
        <v>2392</v>
      </c>
      <c r="CU53" s="2" t="s">
        <v>2491</v>
      </c>
    </row>
    <row r="55" spans="37:99" x14ac:dyDescent="0.2">
      <c r="AS55" s="2" t="s">
        <v>508</v>
      </c>
      <c r="AU55" s="2" t="s">
        <v>554</v>
      </c>
      <c r="AW55" s="2" t="s">
        <v>602</v>
      </c>
      <c r="AY55" s="2" t="s">
        <v>652</v>
      </c>
      <c r="BA55" s="2" t="s">
        <v>704</v>
      </c>
      <c r="BC55" s="2" t="s">
        <v>758</v>
      </c>
      <c r="BE55" s="2" t="s">
        <v>814</v>
      </c>
      <c r="BG55" s="2" t="s">
        <v>892</v>
      </c>
      <c r="BI55" s="2" t="s">
        <v>953</v>
      </c>
      <c r="BK55" s="2" t="s">
        <v>1016</v>
      </c>
      <c r="BM55" s="2" t="s">
        <v>1081</v>
      </c>
      <c r="BO55" s="2" t="s">
        <v>1148</v>
      </c>
      <c r="BQ55" s="2" t="s">
        <v>1217</v>
      </c>
      <c r="BS55" s="2" t="s">
        <v>1288</v>
      </c>
      <c r="BU55" s="2" t="s">
        <v>1361</v>
      </c>
      <c r="BW55" s="2" t="s">
        <v>1436</v>
      </c>
      <c r="BY55" s="2" t="s">
        <v>1513</v>
      </c>
      <c r="CA55" s="2" t="s">
        <v>1592</v>
      </c>
      <c r="CC55" s="2" t="s">
        <v>1673</v>
      </c>
      <c r="CE55" s="2" t="s">
        <v>1756</v>
      </c>
      <c r="CG55" s="2" t="s">
        <v>1841</v>
      </c>
      <c r="CI55" s="2" t="s">
        <v>1928</v>
      </c>
      <c r="CK55" s="2" t="s">
        <v>2017</v>
      </c>
      <c r="CM55" s="2" t="s">
        <v>2108</v>
      </c>
      <c r="CO55" s="2" t="s">
        <v>2201</v>
      </c>
      <c r="CQ55" s="2" t="s">
        <v>2296</v>
      </c>
      <c r="CS55" s="2" t="s">
        <v>2393</v>
      </c>
      <c r="CU55" s="2" t="s">
        <v>2492</v>
      </c>
    </row>
    <row r="57" spans="37:99" x14ac:dyDescent="0.2">
      <c r="AQ57" s="2" t="s">
        <v>465</v>
      </c>
      <c r="AS57" s="2" t="s">
        <v>509</v>
      </c>
      <c r="AU57" s="2" t="s">
        <v>555</v>
      </c>
      <c r="AW57" s="2" t="s">
        <v>603</v>
      </c>
      <c r="AY57" s="2" t="s">
        <v>653</v>
      </c>
      <c r="BA57" s="2" t="s">
        <v>705</v>
      </c>
      <c r="BC57" s="2" t="s">
        <v>759</v>
      </c>
      <c r="BE57" s="2" t="s">
        <v>815</v>
      </c>
      <c r="BG57" s="2" t="s">
        <v>893</v>
      </c>
      <c r="BI57" s="2" t="s">
        <v>954</v>
      </c>
      <c r="BK57" s="2" t="s">
        <v>1017</v>
      </c>
      <c r="BM57" s="2" t="s">
        <v>1082</v>
      </c>
      <c r="BO57" s="2" t="s">
        <v>1149</v>
      </c>
      <c r="BQ57" s="2" t="s">
        <v>1218</v>
      </c>
      <c r="BS57" s="2" t="s">
        <v>1289</v>
      </c>
      <c r="BU57" s="2" t="s">
        <v>1362</v>
      </c>
      <c r="BW57" s="2" t="s">
        <v>1437</v>
      </c>
      <c r="BY57" s="2" t="s">
        <v>1514</v>
      </c>
      <c r="CA57" s="2" t="s">
        <v>1593</v>
      </c>
      <c r="CC57" s="2" t="s">
        <v>1674</v>
      </c>
      <c r="CE57" s="2" t="s">
        <v>1757</v>
      </c>
      <c r="CG57" s="2" t="s">
        <v>1842</v>
      </c>
      <c r="CI57" s="2" t="s">
        <v>1929</v>
      </c>
      <c r="CK57" s="2" t="s">
        <v>2018</v>
      </c>
      <c r="CM57" s="2" t="s">
        <v>2109</v>
      </c>
      <c r="CO57" s="2" t="s">
        <v>2202</v>
      </c>
      <c r="CQ57" s="2" t="s">
        <v>2297</v>
      </c>
      <c r="CS57" s="2" t="s">
        <v>2394</v>
      </c>
      <c r="CU57" s="2" t="s">
        <v>2493</v>
      </c>
    </row>
    <row r="59" spans="37:99" x14ac:dyDescent="0.2">
      <c r="AO59" s="2" t="s">
        <v>424</v>
      </c>
      <c r="AQ59" s="2" t="s">
        <v>466</v>
      </c>
      <c r="AS59" s="2" t="s">
        <v>510</v>
      </c>
      <c r="AU59" s="2" t="s">
        <v>556</v>
      </c>
      <c r="AW59" s="2" t="s">
        <v>604</v>
      </c>
      <c r="AY59" s="2" t="s">
        <v>654</v>
      </c>
      <c r="BA59" s="2" t="s">
        <v>706</v>
      </c>
      <c r="BC59" s="2" t="s">
        <v>760</v>
      </c>
      <c r="BE59" s="2" t="s">
        <v>816</v>
      </c>
      <c r="BG59" s="2" t="s">
        <v>894</v>
      </c>
      <c r="BI59" s="2" t="s">
        <v>955</v>
      </c>
      <c r="BK59" s="2" t="s">
        <v>1018</v>
      </c>
      <c r="BM59" s="2" t="s">
        <v>1083</v>
      </c>
      <c r="BO59" s="2" t="s">
        <v>1150</v>
      </c>
      <c r="BQ59" s="2" t="s">
        <v>1219</v>
      </c>
      <c r="BS59" s="2" t="s">
        <v>1290</v>
      </c>
      <c r="BU59" s="2" t="s">
        <v>1363</v>
      </c>
      <c r="BW59" s="2" t="s">
        <v>1438</v>
      </c>
      <c r="BY59" s="2" t="s">
        <v>1515</v>
      </c>
      <c r="CA59" s="2" t="s">
        <v>1594</v>
      </c>
      <c r="CC59" s="2" t="s">
        <v>1675</v>
      </c>
      <c r="CE59" s="2" t="s">
        <v>1758</v>
      </c>
      <c r="CG59" s="2" t="s">
        <v>1843</v>
      </c>
      <c r="CI59" s="2" t="s">
        <v>1930</v>
      </c>
      <c r="CK59" s="2" t="s">
        <v>2019</v>
      </c>
      <c r="CM59" s="2" t="s">
        <v>2110</v>
      </c>
      <c r="CO59" s="2" t="s">
        <v>2203</v>
      </c>
      <c r="CQ59" s="2" t="s">
        <v>2298</v>
      </c>
      <c r="CS59" s="2" t="s">
        <v>2395</v>
      </c>
      <c r="CU59" s="2" t="s">
        <v>2494</v>
      </c>
    </row>
    <row r="61" spans="37:99" x14ac:dyDescent="0.2">
      <c r="AM61" s="2" t="s">
        <v>385</v>
      </c>
      <c r="AO61" s="2" t="s">
        <v>425</v>
      </c>
      <c r="AQ61" s="2" t="s">
        <v>467</v>
      </c>
      <c r="AS61" s="2" t="s">
        <v>511</v>
      </c>
      <c r="AU61" s="2" t="s">
        <v>557</v>
      </c>
      <c r="AW61" s="2" t="s">
        <v>605</v>
      </c>
      <c r="AY61" s="2" t="s">
        <v>655</v>
      </c>
      <c r="BA61" s="2" t="s">
        <v>707</v>
      </c>
      <c r="BC61" s="2" t="s">
        <v>761</v>
      </c>
      <c r="BE61" s="2" t="s">
        <v>817</v>
      </c>
      <c r="BG61" s="2" t="s">
        <v>895</v>
      </c>
      <c r="BI61" s="2" t="s">
        <v>956</v>
      </c>
      <c r="BK61" s="2" t="s">
        <v>1019</v>
      </c>
      <c r="BM61" s="2" t="s">
        <v>1084</v>
      </c>
      <c r="BO61" s="2" t="s">
        <v>1151</v>
      </c>
      <c r="BQ61" s="2" t="s">
        <v>1220</v>
      </c>
      <c r="BS61" s="2" t="s">
        <v>1291</v>
      </c>
      <c r="BU61" s="2" t="s">
        <v>1364</v>
      </c>
      <c r="BW61" s="2" t="s">
        <v>1439</v>
      </c>
      <c r="BY61" s="2" t="s">
        <v>1516</v>
      </c>
      <c r="CA61" s="2" t="s">
        <v>1595</v>
      </c>
      <c r="CC61" s="2" t="s">
        <v>1676</v>
      </c>
      <c r="CE61" s="2" t="s">
        <v>1759</v>
      </c>
      <c r="CG61" s="2" t="s">
        <v>1844</v>
      </c>
      <c r="CI61" s="2" t="s">
        <v>1931</v>
      </c>
      <c r="CK61" s="2" t="s">
        <v>2020</v>
      </c>
      <c r="CM61" s="2" t="s">
        <v>2111</v>
      </c>
      <c r="CO61" s="2" t="s">
        <v>2204</v>
      </c>
      <c r="CQ61" s="2" t="s">
        <v>2299</v>
      </c>
      <c r="CS61" s="2" t="s">
        <v>2396</v>
      </c>
      <c r="CU61" s="2" t="s">
        <v>2495</v>
      </c>
    </row>
    <row r="63" spans="37:99" x14ac:dyDescent="0.2">
      <c r="AK63" s="2" t="s">
        <v>348</v>
      </c>
      <c r="AM63" s="2" t="s">
        <v>386</v>
      </c>
      <c r="AO63" s="2" t="s">
        <v>426</v>
      </c>
      <c r="AQ63" s="2" t="s">
        <v>468</v>
      </c>
      <c r="AS63" s="2" t="s">
        <v>512</v>
      </c>
      <c r="AU63" s="2" t="s">
        <v>558</v>
      </c>
      <c r="AW63" s="2" t="s">
        <v>606</v>
      </c>
      <c r="AY63" s="2" t="s">
        <v>656</v>
      </c>
      <c r="BA63" s="2" t="s">
        <v>708</v>
      </c>
      <c r="BC63" s="2" t="s">
        <v>762</v>
      </c>
      <c r="BE63" s="2" t="s">
        <v>818</v>
      </c>
      <c r="BG63" s="2" t="s">
        <v>896</v>
      </c>
      <c r="BI63" s="2" t="s">
        <v>957</v>
      </c>
      <c r="BK63" s="2" t="s">
        <v>1020</v>
      </c>
      <c r="BM63" s="2" t="s">
        <v>1085</v>
      </c>
      <c r="BO63" s="2" t="s">
        <v>1152</v>
      </c>
      <c r="BQ63" s="2" t="s">
        <v>1221</v>
      </c>
      <c r="BS63" s="2" t="s">
        <v>1292</v>
      </c>
      <c r="BU63" s="2" t="s">
        <v>1365</v>
      </c>
      <c r="BW63" s="2" t="s">
        <v>1440</v>
      </c>
      <c r="BY63" s="2" t="s">
        <v>1517</v>
      </c>
      <c r="CA63" s="2" t="s">
        <v>1596</v>
      </c>
      <c r="CC63" s="2" t="s">
        <v>1677</v>
      </c>
      <c r="CE63" s="2" t="s">
        <v>1760</v>
      </c>
      <c r="CG63" s="2" t="s">
        <v>1845</v>
      </c>
      <c r="CI63" s="2" t="s">
        <v>1932</v>
      </c>
      <c r="CK63" s="2" t="s">
        <v>2021</v>
      </c>
      <c r="CM63" s="2" t="s">
        <v>2112</v>
      </c>
      <c r="CO63" s="2" t="s">
        <v>2205</v>
      </c>
      <c r="CQ63" s="2" t="s">
        <v>2300</v>
      </c>
      <c r="CS63" s="2" t="s">
        <v>2397</v>
      </c>
      <c r="CU63" s="2" t="s">
        <v>2496</v>
      </c>
    </row>
    <row r="65" spans="21:99" x14ac:dyDescent="0.2">
      <c r="AI65" s="2" t="s">
        <v>313</v>
      </c>
      <c r="AK65" s="2" t="s">
        <v>349</v>
      </c>
      <c r="AM65" s="2" t="s">
        <v>387</v>
      </c>
      <c r="AO65" s="2" t="s">
        <v>427</v>
      </c>
      <c r="AQ65" s="2" t="s">
        <v>469</v>
      </c>
      <c r="AS65" s="2" t="s">
        <v>513</v>
      </c>
      <c r="AU65" s="2" t="s">
        <v>559</v>
      </c>
      <c r="AW65" s="2" t="s">
        <v>607</v>
      </c>
      <c r="AY65" s="2" t="s">
        <v>657</v>
      </c>
      <c r="BA65" s="2" t="s">
        <v>709</v>
      </c>
      <c r="BC65" s="2" t="s">
        <v>763</v>
      </c>
      <c r="BE65" s="2" t="s">
        <v>819</v>
      </c>
      <c r="BG65" s="2" t="s">
        <v>897</v>
      </c>
      <c r="BI65" s="2" t="s">
        <v>958</v>
      </c>
      <c r="BK65" s="2" t="s">
        <v>1021</v>
      </c>
      <c r="BM65" s="2" t="s">
        <v>1086</v>
      </c>
      <c r="BO65" s="2" t="s">
        <v>1153</v>
      </c>
      <c r="BQ65" s="2" t="s">
        <v>1222</v>
      </c>
      <c r="BS65" s="2" t="s">
        <v>1293</v>
      </c>
      <c r="BU65" s="2" t="s">
        <v>1366</v>
      </c>
      <c r="BW65" s="2" t="s">
        <v>1441</v>
      </c>
      <c r="BY65" s="2" t="s">
        <v>1518</v>
      </c>
      <c r="CA65" s="2" t="s">
        <v>1597</v>
      </c>
      <c r="CC65" s="2" t="s">
        <v>1678</v>
      </c>
      <c r="CE65" s="2" t="s">
        <v>1761</v>
      </c>
      <c r="CG65" s="2" t="s">
        <v>1846</v>
      </c>
      <c r="CI65" s="2" t="s">
        <v>1933</v>
      </c>
      <c r="CK65" s="2" t="s">
        <v>2022</v>
      </c>
      <c r="CM65" s="2" t="s">
        <v>2113</v>
      </c>
      <c r="CO65" s="2" t="s">
        <v>2206</v>
      </c>
      <c r="CQ65" s="2" t="s">
        <v>2301</v>
      </c>
      <c r="CS65" s="2" t="s">
        <v>2398</v>
      </c>
      <c r="CU65" s="2" t="s">
        <v>2497</v>
      </c>
    </row>
    <row r="67" spans="21:99" x14ac:dyDescent="0.2">
      <c r="AG67" s="2" t="s">
        <v>280</v>
      </c>
      <c r="AI67" s="2" t="s">
        <v>314</v>
      </c>
      <c r="AK67" s="2" t="s">
        <v>350</v>
      </c>
      <c r="AM67" s="2" t="s">
        <v>388</v>
      </c>
      <c r="AO67" s="2" t="s">
        <v>428</v>
      </c>
      <c r="AQ67" s="2" t="s">
        <v>470</v>
      </c>
      <c r="AS67" s="2" t="s">
        <v>514</v>
      </c>
      <c r="AU67" s="2" t="s">
        <v>560</v>
      </c>
      <c r="AW67" s="2" t="s">
        <v>608</v>
      </c>
      <c r="AY67" s="2" t="s">
        <v>658</v>
      </c>
      <c r="BA67" s="2" t="s">
        <v>710</v>
      </c>
      <c r="BC67" s="2" t="s">
        <v>764</v>
      </c>
      <c r="BE67" s="2" t="s">
        <v>820</v>
      </c>
      <c r="BG67" s="2" t="s">
        <v>898</v>
      </c>
      <c r="BI67" s="2" t="s">
        <v>959</v>
      </c>
      <c r="BK67" s="2" t="s">
        <v>1022</v>
      </c>
      <c r="BM67" s="2" t="s">
        <v>1087</v>
      </c>
      <c r="BO67" s="2" t="s">
        <v>1154</v>
      </c>
      <c r="BQ67" s="2" t="s">
        <v>1223</v>
      </c>
      <c r="BS67" s="2" t="s">
        <v>1294</v>
      </c>
      <c r="BU67" s="2" t="s">
        <v>1367</v>
      </c>
      <c r="BW67" s="2" t="s">
        <v>1442</v>
      </c>
      <c r="BY67" s="2" t="s">
        <v>1519</v>
      </c>
      <c r="CA67" s="2" t="s">
        <v>1598</v>
      </c>
      <c r="CC67" s="2" t="s">
        <v>1679</v>
      </c>
      <c r="CE67" s="2" t="s">
        <v>1762</v>
      </c>
      <c r="CG67" s="2" t="s">
        <v>1847</v>
      </c>
      <c r="CI67" s="2" t="s">
        <v>1934</v>
      </c>
      <c r="CK67" s="2" t="s">
        <v>2023</v>
      </c>
      <c r="CM67" s="2" t="s">
        <v>2114</v>
      </c>
      <c r="CO67" s="2" t="s">
        <v>2207</v>
      </c>
      <c r="CQ67" s="2" t="s">
        <v>2302</v>
      </c>
      <c r="CS67" s="2" t="s">
        <v>2399</v>
      </c>
      <c r="CU67" s="2" t="s">
        <v>2498</v>
      </c>
    </row>
    <row r="69" spans="21:99" x14ac:dyDescent="0.2">
      <c r="AE69" s="2" t="s">
        <v>249</v>
      </c>
      <c r="AG69" s="2" t="s">
        <v>281</v>
      </c>
      <c r="AI69" s="2" t="s">
        <v>315</v>
      </c>
      <c r="AK69" s="2" t="s">
        <v>351</v>
      </c>
      <c r="AM69" s="2" t="s">
        <v>389</v>
      </c>
      <c r="AO69" s="2" t="s">
        <v>429</v>
      </c>
      <c r="AQ69" s="2" t="s">
        <v>471</v>
      </c>
      <c r="AS69" s="2" t="s">
        <v>515</v>
      </c>
      <c r="AU69" s="2" t="s">
        <v>561</v>
      </c>
      <c r="AW69" s="2" t="s">
        <v>609</v>
      </c>
      <c r="AY69" s="2" t="s">
        <v>659</v>
      </c>
      <c r="BA69" s="2" t="s">
        <v>711</v>
      </c>
      <c r="BC69" s="2" t="s">
        <v>765</v>
      </c>
      <c r="BE69" s="2" t="s">
        <v>821</v>
      </c>
      <c r="BG69" s="2" t="s">
        <v>899</v>
      </c>
      <c r="BI69" s="2" t="s">
        <v>960</v>
      </c>
      <c r="BK69" s="2" t="s">
        <v>1023</v>
      </c>
      <c r="BM69" s="2" t="s">
        <v>1088</v>
      </c>
      <c r="BO69" s="2" t="s">
        <v>1155</v>
      </c>
      <c r="BQ69" s="2" t="s">
        <v>1224</v>
      </c>
      <c r="BS69" s="2" t="s">
        <v>1295</v>
      </c>
      <c r="BU69" s="2" t="s">
        <v>1368</v>
      </c>
      <c r="BW69" s="2" t="s">
        <v>1443</v>
      </c>
      <c r="BY69" s="2" t="s">
        <v>1520</v>
      </c>
      <c r="CA69" s="2" t="s">
        <v>1599</v>
      </c>
      <c r="CC69" s="2" t="s">
        <v>1680</v>
      </c>
      <c r="CE69" s="2" t="s">
        <v>1763</v>
      </c>
      <c r="CG69" s="2" t="s">
        <v>1848</v>
      </c>
      <c r="CI69" s="2" t="s">
        <v>1935</v>
      </c>
      <c r="CK69" s="2" t="s">
        <v>2024</v>
      </c>
      <c r="CM69" s="2" t="s">
        <v>2115</v>
      </c>
      <c r="CO69" s="2" t="s">
        <v>2208</v>
      </c>
      <c r="CQ69" s="2" t="s">
        <v>2303</v>
      </c>
      <c r="CS69" s="2" t="s">
        <v>2400</v>
      </c>
      <c r="CU69" s="2" t="s">
        <v>2499</v>
      </c>
    </row>
    <row r="71" spans="21:99" x14ac:dyDescent="0.2">
      <c r="AC71" s="2" t="s">
        <v>220</v>
      </c>
      <c r="AE71" s="2" t="s">
        <v>250</v>
      </c>
      <c r="AG71" s="2" t="s">
        <v>282</v>
      </c>
      <c r="AI71" s="2" t="s">
        <v>316</v>
      </c>
      <c r="AK71" s="2" t="s">
        <v>352</v>
      </c>
      <c r="AM71" s="2" t="s">
        <v>390</v>
      </c>
      <c r="AO71" s="2" t="s">
        <v>430</v>
      </c>
      <c r="AQ71" s="2" t="s">
        <v>472</v>
      </c>
      <c r="AS71" s="2" t="s">
        <v>516</v>
      </c>
      <c r="AU71" s="2" t="s">
        <v>562</v>
      </c>
      <c r="AW71" s="2" t="s">
        <v>610</v>
      </c>
      <c r="AY71" s="2" t="s">
        <v>660</v>
      </c>
      <c r="BA71" s="2" t="s">
        <v>712</v>
      </c>
      <c r="BC71" s="2" t="s">
        <v>766</v>
      </c>
      <c r="BE71" s="2" t="s">
        <v>822</v>
      </c>
      <c r="BG71" s="2" t="s">
        <v>900</v>
      </c>
      <c r="BI71" s="2" t="s">
        <v>961</v>
      </c>
      <c r="BK71" s="2" t="s">
        <v>1024</v>
      </c>
      <c r="BM71" s="2" t="s">
        <v>1089</v>
      </c>
      <c r="BO71" s="2" t="s">
        <v>1156</v>
      </c>
      <c r="BQ71" s="2" t="s">
        <v>1225</v>
      </c>
      <c r="BS71" s="2" t="s">
        <v>1296</v>
      </c>
      <c r="BU71" s="2" t="s">
        <v>1369</v>
      </c>
      <c r="BW71" s="2" t="s">
        <v>1444</v>
      </c>
      <c r="BY71" s="2" t="s">
        <v>1521</v>
      </c>
      <c r="CA71" s="2" t="s">
        <v>1600</v>
      </c>
      <c r="CC71" s="2" t="s">
        <v>1681</v>
      </c>
      <c r="CE71" s="2" t="s">
        <v>1764</v>
      </c>
      <c r="CG71" s="2" t="s">
        <v>1849</v>
      </c>
      <c r="CI71" s="2" t="s">
        <v>1936</v>
      </c>
      <c r="CK71" s="2" t="s">
        <v>2025</v>
      </c>
      <c r="CM71" s="2" t="s">
        <v>2116</v>
      </c>
      <c r="CO71" s="2" t="s">
        <v>2209</v>
      </c>
      <c r="CQ71" s="2" t="s">
        <v>2304</v>
      </c>
      <c r="CS71" s="2" t="s">
        <v>2401</v>
      </c>
      <c r="CU71" s="2" t="s">
        <v>2500</v>
      </c>
    </row>
    <row r="73" spans="21:99" x14ac:dyDescent="0.2">
      <c r="AA73" s="2" t="s">
        <v>193</v>
      </c>
      <c r="AC73" s="2" t="s">
        <v>221</v>
      </c>
      <c r="AE73" s="2" t="s">
        <v>251</v>
      </c>
      <c r="AG73" s="2" t="s">
        <v>283</v>
      </c>
      <c r="AI73" s="2" t="s">
        <v>317</v>
      </c>
      <c r="AK73" s="2" t="s">
        <v>353</v>
      </c>
      <c r="AM73" s="2" t="s">
        <v>391</v>
      </c>
      <c r="AO73" s="2" t="s">
        <v>431</v>
      </c>
      <c r="AQ73" s="2" t="s">
        <v>473</v>
      </c>
      <c r="AS73" s="2" t="s">
        <v>517</v>
      </c>
      <c r="AU73" s="2" t="s">
        <v>563</v>
      </c>
      <c r="AW73" s="2" t="s">
        <v>611</v>
      </c>
      <c r="AY73" s="2" t="s">
        <v>661</v>
      </c>
      <c r="BA73" s="2" t="s">
        <v>713</v>
      </c>
      <c r="BC73" s="2" t="s">
        <v>767</v>
      </c>
      <c r="BE73" s="2" t="s">
        <v>823</v>
      </c>
      <c r="BG73" s="2" t="s">
        <v>901</v>
      </c>
      <c r="BI73" s="2" t="s">
        <v>962</v>
      </c>
      <c r="BK73" s="2" t="s">
        <v>1025</v>
      </c>
      <c r="BM73" s="2" t="s">
        <v>1090</v>
      </c>
      <c r="BO73" s="2" t="s">
        <v>1157</v>
      </c>
      <c r="BQ73" s="2" t="s">
        <v>1226</v>
      </c>
      <c r="BS73" s="2" t="s">
        <v>1297</v>
      </c>
      <c r="BU73" s="2" t="s">
        <v>1370</v>
      </c>
      <c r="BW73" s="2" t="s">
        <v>1445</v>
      </c>
      <c r="BY73" s="2" t="s">
        <v>1522</v>
      </c>
      <c r="CA73" s="2" t="s">
        <v>1601</v>
      </c>
      <c r="CC73" s="2" t="s">
        <v>1682</v>
      </c>
      <c r="CE73" s="2" t="s">
        <v>1765</v>
      </c>
      <c r="CG73" s="2" t="s">
        <v>1850</v>
      </c>
      <c r="CI73" s="2" t="s">
        <v>1937</v>
      </c>
      <c r="CK73" s="2" t="s">
        <v>2026</v>
      </c>
      <c r="CM73" s="2" t="s">
        <v>2117</v>
      </c>
      <c r="CO73" s="2" t="s">
        <v>2210</v>
      </c>
      <c r="CQ73" s="2" t="s">
        <v>2305</v>
      </c>
      <c r="CS73" s="2" t="s">
        <v>2402</v>
      </c>
      <c r="CU73" s="2" t="s">
        <v>2501</v>
      </c>
    </row>
    <row r="75" spans="21:99" x14ac:dyDescent="0.2">
      <c r="Y75" s="2" t="s">
        <v>168</v>
      </c>
      <c r="AA75" s="2" t="s">
        <v>194</v>
      </c>
      <c r="AC75" s="2" t="s">
        <v>222</v>
      </c>
      <c r="AE75" s="2" t="s">
        <v>252</v>
      </c>
      <c r="AG75" s="2" t="s">
        <v>284</v>
      </c>
      <c r="AI75" s="2" t="s">
        <v>318</v>
      </c>
      <c r="AK75" s="2" t="s">
        <v>354</v>
      </c>
      <c r="AM75" s="2" t="s">
        <v>392</v>
      </c>
      <c r="AO75" s="2" t="s">
        <v>432</v>
      </c>
      <c r="AQ75" s="2" t="s">
        <v>474</v>
      </c>
      <c r="AS75" s="2" t="s">
        <v>518</v>
      </c>
      <c r="AU75" s="2" t="s">
        <v>564</v>
      </c>
      <c r="AW75" s="2" t="s">
        <v>612</v>
      </c>
      <c r="AY75" s="2" t="s">
        <v>662</v>
      </c>
      <c r="BA75" s="2" t="s">
        <v>714</v>
      </c>
      <c r="BC75" s="2" t="s">
        <v>768</v>
      </c>
      <c r="BE75" s="2" t="s">
        <v>824</v>
      </c>
      <c r="BG75" s="2" t="s">
        <v>902</v>
      </c>
      <c r="BI75" s="2" t="s">
        <v>963</v>
      </c>
      <c r="BK75" s="2" t="s">
        <v>1026</v>
      </c>
      <c r="BM75" s="2" t="s">
        <v>1091</v>
      </c>
      <c r="BO75" s="2" t="s">
        <v>1158</v>
      </c>
      <c r="BQ75" s="2" t="s">
        <v>1227</v>
      </c>
      <c r="BS75" s="2" t="s">
        <v>1298</v>
      </c>
      <c r="BU75" s="2" t="s">
        <v>1371</v>
      </c>
      <c r="BW75" s="2" t="s">
        <v>1446</v>
      </c>
      <c r="BY75" s="2" t="s">
        <v>1523</v>
      </c>
      <c r="CA75" s="2" t="s">
        <v>1602</v>
      </c>
      <c r="CC75" s="2" t="s">
        <v>1683</v>
      </c>
      <c r="CE75" s="2" t="s">
        <v>1766</v>
      </c>
      <c r="CG75" s="2" t="s">
        <v>1851</v>
      </c>
      <c r="CI75" s="2" t="s">
        <v>1938</v>
      </c>
      <c r="CK75" s="2" t="s">
        <v>2027</v>
      </c>
      <c r="CM75" s="2" t="s">
        <v>2118</v>
      </c>
      <c r="CO75" s="2" t="s">
        <v>2211</v>
      </c>
      <c r="CQ75" s="2" t="s">
        <v>2306</v>
      </c>
      <c r="CS75" s="2" t="s">
        <v>2403</v>
      </c>
      <c r="CU75" s="2" t="s">
        <v>2502</v>
      </c>
    </row>
    <row r="77" spans="21:99" x14ac:dyDescent="0.2">
      <c r="W77" s="2" t="s">
        <v>145</v>
      </c>
      <c r="Y77" s="2" t="s">
        <v>169</v>
      </c>
      <c r="AA77" s="2" t="s">
        <v>195</v>
      </c>
      <c r="AC77" s="2" t="s">
        <v>223</v>
      </c>
      <c r="AE77" s="2" t="s">
        <v>253</v>
      </c>
      <c r="AG77" s="2" t="s">
        <v>285</v>
      </c>
      <c r="AI77" s="2" t="s">
        <v>319</v>
      </c>
      <c r="AK77" s="2" t="s">
        <v>355</v>
      </c>
      <c r="AM77" s="2" t="s">
        <v>393</v>
      </c>
      <c r="AO77" s="2" t="s">
        <v>433</v>
      </c>
      <c r="AQ77" s="2" t="s">
        <v>475</v>
      </c>
      <c r="AS77" s="2" t="s">
        <v>519</v>
      </c>
      <c r="AU77" s="2" t="s">
        <v>565</v>
      </c>
      <c r="AW77" s="2" t="s">
        <v>613</v>
      </c>
      <c r="AY77" s="2" t="s">
        <v>663</v>
      </c>
      <c r="BA77" s="2" t="s">
        <v>715</v>
      </c>
      <c r="BC77" s="2" t="s">
        <v>769</v>
      </c>
      <c r="BE77" s="2" t="s">
        <v>825</v>
      </c>
      <c r="BG77" s="2" t="s">
        <v>903</v>
      </c>
      <c r="BI77" s="2" t="s">
        <v>964</v>
      </c>
      <c r="BK77" s="2" t="s">
        <v>1027</v>
      </c>
      <c r="BM77" s="2" t="s">
        <v>1092</v>
      </c>
      <c r="BO77" s="2" t="s">
        <v>1159</v>
      </c>
      <c r="BQ77" s="2" t="s">
        <v>1228</v>
      </c>
      <c r="BS77" s="2" t="s">
        <v>1299</v>
      </c>
      <c r="BU77" s="2" t="s">
        <v>1372</v>
      </c>
      <c r="BW77" s="2" t="s">
        <v>1447</v>
      </c>
      <c r="BY77" s="2" t="s">
        <v>1524</v>
      </c>
      <c r="CA77" s="2" t="s">
        <v>1603</v>
      </c>
      <c r="CC77" s="2" t="s">
        <v>1684</v>
      </c>
      <c r="CE77" s="2" t="s">
        <v>1767</v>
      </c>
      <c r="CG77" s="2" t="s">
        <v>1852</v>
      </c>
      <c r="CI77" s="2" t="s">
        <v>1939</v>
      </c>
      <c r="CK77" s="2" t="s">
        <v>2028</v>
      </c>
      <c r="CM77" s="2" t="s">
        <v>2119</v>
      </c>
      <c r="CO77" s="2" t="s">
        <v>2212</v>
      </c>
      <c r="CQ77" s="2" t="s">
        <v>2307</v>
      </c>
      <c r="CS77" s="2" t="s">
        <v>2404</v>
      </c>
      <c r="CU77" s="2" t="s">
        <v>2503</v>
      </c>
    </row>
    <row r="79" spans="21:99" x14ac:dyDescent="0.2">
      <c r="U79" s="2" t="s">
        <v>124</v>
      </c>
      <c r="W79" s="2" t="s">
        <v>146</v>
      </c>
      <c r="Y79" s="2" t="s">
        <v>170</v>
      </c>
      <c r="AA79" s="2" t="s">
        <v>196</v>
      </c>
      <c r="AC79" s="2" t="s">
        <v>224</v>
      </c>
      <c r="AE79" s="2" t="s">
        <v>254</v>
      </c>
      <c r="AG79" s="2" t="s">
        <v>286</v>
      </c>
      <c r="AI79" s="2" t="s">
        <v>320</v>
      </c>
      <c r="AK79" s="2" t="s">
        <v>356</v>
      </c>
      <c r="AM79" s="2" t="s">
        <v>394</v>
      </c>
      <c r="AO79" s="2" t="s">
        <v>434</v>
      </c>
      <c r="AQ79" s="2" t="s">
        <v>476</v>
      </c>
      <c r="AS79" s="2" t="s">
        <v>520</v>
      </c>
      <c r="AU79" s="2" t="s">
        <v>566</v>
      </c>
      <c r="AW79" s="2" t="s">
        <v>614</v>
      </c>
      <c r="AY79" s="2" t="s">
        <v>664</v>
      </c>
      <c r="BA79" s="2" t="s">
        <v>716</v>
      </c>
      <c r="BC79" s="2" t="s">
        <v>770</v>
      </c>
      <c r="BE79" s="2" t="s">
        <v>826</v>
      </c>
      <c r="BG79" s="2" t="s">
        <v>904</v>
      </c>
      <c r="BI79" s="2" t="s">
        <v>965</v>
      </c>
      <c r="BK79" s="2" t="s">
        <v>1028</v>
      </c>
      <c r="BM79" s="2" t="s">
        <v>1093</v>
      </c>
      <c r="BO79" s="2" t="s">
        <v>1160</v>
      </c>
      <c r="BQ79" s="2" t="s">
        <v>1229</v>
      </c>
      <c r="BS79" s="2" t="s">
        <v>1300</v>
      </c>
      <c r="BU79" s="2" t="s">
        <v>1373</v>
      </c>
      <c r="BW79" s="2" t="s">
        <v>1448</v>
      </c>
      <c r="BY79" s="2" t="s">
        <v>1525</v>
      </c>
      <c r="CA79" s="2" t="s">
        <v>1604</v>
      </c>
      <c r="CC79" s="2" t="s">
        <v>1685</v>
      </c>
      <c r="CE79" s="2" t="s">
        <v>1768</v>
      </c>
      <c r="CG79" s="2" t="s">
        <v>1853</v>
      </c>
      <c r="CI79" s="2" t="s">
        <v>1940</v>
      </c>
      <c r="CK79" s="2" t="s">
        <v>2029</v>
      </c>
      <c r="CM79" s="2" t="s">
        <v>2120</v>
      </c>
      <c r="CO79" s="2" t="s">
        <v>2213</v>
      </c>
      <c r="CQ79" s="2" t="s">
        <v>2308</v>
      </c>
      <c r="CS79" s="2" t="s">
        <v>2405</v>
      </c>
      <c r="CU79" s="2" t="s">
        <v>2504</v>
      </c>
    </row>
    <row r="81" spans="5:99" x14ac:dyDescent="0.2">
      <c r="S81" s="2" t="s">
        <v>105</v>
      </c>
      <c r="U81" s="2" t="s">
        <v>125</v>
      </c>
      <c r="W81" s="2" t="s">
        <v>147</v>
      </c>
      <c r="Y81" s="2" t="s">
        <v>171</v>
      </c>
      <c r="AA81" s="2" t="s">
        <v>197</v>
      </c>
      <c r="AC81" s="2" t="s">
        <v>225</v>
      </c>
      <c r="AE81" s="2" t="s">
        <v>255</v>
      </c>
      <c r="AG81" s="2" t="s">
        <v>287</v>
      </c>
      <c r="AI81" s="2" t="s">
        <v>321</v>
      </c>
      <c r="AK81" s="2" t="s">
        <v>357</v>
      </c>
      <c r="AM81" s="2" t="s">
        <v>395</v>
      </c>
      <c r="AO81" s="2" t="s">
        <v>435</v>
      </c>
      <c r="AQ81" s="2" t="s">
        <v>477</v>
      </c>
      <c r="AS81" s="2" t="s">
        <v>521</v>
      </c>
      <c r="AU81" s="2" t="s">
        <v>567</v>
      </c>
      <c r="AW81" s="2" t="s">
        <v>615</v>
      </c>
      <c r="AY81" s="2" t="s">
        <v>665</v>
      </c>
      <c r="BA81" s="2" t="s">
        <v>717</v>
      </c>
      <c r="BC81" s="2" t="s">
        <v>771</v>
      </c>
      <c r="BE81" s="2" t="s">
        <v>827</v>
      </c>
      <c r="BG81" s="2" t="s">
        <v>905</v>
      </c>
      <c r="BI81" s="2" t="s">
        <v>966</v>
      </c>
      <c r="BK81" s="2" t="s">
        <v>1029</v>
      </c>
      <c r="BM81" s="2" t="s">
        <v>1094</v>
      </c>
      <c r="BO81" s="2" t="s">
        <v>1161</v>
      </c>
      <c r="BQ81" s="2" t="s">
        <v>1230</v>
      </c>
      <c r="BS81" s="2" t="s">
        <v>1301</v>
      </c>
      <c r="BU81" s="2" t="s">
        <v>1374</v>
      </c>
      <c r="BW81" s="2" t="s">
        <v>1449</v>
      </c>
      <c r="BY81" s="2" t="s">
        <v>1526</v>
      </c>
      <c r="CA81" s="2" t="s">
        <v>1605</v>
      </c>
      <c r="CC81" s="2" t="s">
        <v>1686</v>
      </c>
      <c r="CE81" s="2" t="s">
        <v>1769</v>
      </c>
      <c r="CG81" s="2" t="s">
        <v>1854</v>
      </c>
      <c r="CI81" s="2" t="s">
        <v>1941</v>
      </c>
      <c r="CK81" s="2" t="s">
        <v>2030</v>
      </c>
      <c r="CM81" s="2" t="s">
        <v>2121</v>
      </c>
      <c r="CO81" s="2" t="s">
        <v>2214</v>
      </c>
      <c r="CQ81" s="2" t="s">
        <v>2309</v>
      </c>
      <c r="CS81" s="2" t="s">
        <v>2406</v>
      </c>
      <c r="CU81" s="2" t="s">
        <v>2505</v>
      </c>
    </row>
    <row r="83" spans="5:99" x14ac:dyDescent="0.2">
      <c r="Q83" s="2" t="s">
        <v>88</v>
      </c>
      <c r="S83" s="2" t="s">
        <v>106</v>
      </c>
      <c r="U83" s="2" t="s">
        <v>126</v>
      </c>
      <c r="W83" s="2" t="s">
        <v>148</v>
      </c>
      <c r="Y83" s="2" t="s">
        <v>172</v>
      </c>
      <c r="AA83" s="2" t="s">
        <v>198</v>
      </c>
      <c r="AC83" s="2" t="s">
        <v>226</v>
      </c>
      <c r="AE83" s="2" t="s">
        <v>256</v>
      </c>
      <c r="AG83" s="2" t="s">
        <v>288</v>
      </c>
      <c r="AI83" s="2" t="s">
        <v>322</v>
      </c>
      <c r="AK83" s="2" t="s">
        <v>358</v>
      </c>
      <c r="AM83" s="2" t="s">
        <v>396</v>
      </c>
      <c r="AO83" s="2" t="s">
        <v>436</v>
      </c>
      <c r="AQ83" s="2" t="s">
        <v>478</v>
      </c>
      <c r="AS83" s="2" t="s">
        <v>522</v>
      </c>
      <c r="AU83" s="2" t="s">
        <v>568</v>
      </c>
      <c r="AW83" s="2" t="s">
        <v>616</v>
      </c>
      <c r="AY83" s="2" t="s">
        <v>666</v>
      </c>
      <c r="BA83" s="2" t="s">
        <v>718</v>
      </c>
      <c r="BC83" s="2" t="s">
        <v>772</v>
      </c>
      <c r="BE83" s="2" t="s">
        <v>828</v>
      </c>
      <c r="BG83" s="2" t="s">
        <v>906</v>
      </c>
      <c r="BI83" s="2" t="s">
        <v>967</v>
      </c>
      <c r="BK83" s="2" t="s">
        <v>1030</v>
      </c>
      <c r="BM83" s="2" t="s">
        <v>1095</v>
      </c>
      <c r="BO83" s="2" t="s">
        <v>1162</v>
      </c>
      <c r="BQ83" s="2" t="s">
        <v>1231</v>
      </c>
      <c r="BS83" s="2" t="s">
        <v>1302</v>
      </c>
      <c r="BU83" s="2" t="s">
        <v>1375</v>
      </c>
      <c r="BW83" s="2" t="s">
        <v>1450</v>
      </c>
      <c r="BY83" s="2" t="s">
        <v>1527</v>
      </c>
      <c r="CA83" s="2" t="s">
        <v>1606</v>
      </c>
      <c r="CC83" s="2" t="s">
        <v>1687</v>
      </c>
      <c r="CE83" s="2" t="s">
        <v>1770</v>
      </c>
      <c r="CG83" s="2" t="s">
        <v>1855</v>
      </c>
      <c r="CI83" s="2" t="s">
        <v>1942</v>
      </c>
      <c r="CK83" s="2" t="s">
        <v>2031</v>
      </c>
      <c r="CM83" s="2" t="s">
        <v>2122</v>
      </c>
      <c r="CO83" s="2" t="s">
        <v>2215</v>
      </c>
      <c r="CQ83" s="2" t="s">
        <v>2310</v>
      </c>
      <c r="CS83" s="2" t="s">
        <v>2407</v>
      </c>
      <c r="CU83" s="2" t="s">
        <v>2506</v>
      </c>
    </row>
    <row r="85" spans="5:99" x14ac:dyDescent="0.2">
      <c r="O85" s="2" t="s">
        <v>73</v>
      </c>
      <c r="Q85" s="2" t="s">
        <v>89</v>
      </c>
      <c r="S85" s="2" t="s">
        <v>107</v>
      </c>
      <c r="U85" s="2" t="s">
        <v>127</v>
      </c>
      <c r="W85" s="2" t="s">
        <v>149</v>
      </c>
      <c r="Y85" s="2" t="s">
        <v>173</v>
      </c>
      <c r="AA85" s="2" t="s">
        <v>199</v>
      </c>
      <c r="AC85" s="2" t="s">
        <v>227</v>
      </c>
      <c r="AE85" s="2" t="s">
        <v>257</v>
      </c>
      <c r="AG85" s="2" t="s">
        <v>289</v>
      </c>
      <c r="AI85" s="2" t="s">
        <v>323</v>
      </c>
      <c r="AK85" s="2" t="s">
        <v>359</v>
      </c>
      <c r="AM85" s="2" t="s">
        <v>397</v>
      </c>
      <c r="AO85" s="2" t="s">
        <v>437</v>
      </c>
      <c r="AQ85" s="2" t="s">
        <v>479</v>
      </c>
      <c r="AS85" s="2" t="s">
        <v>523</v>
      </c>
      <c r="AU85" s="2" t="s">
        <v>569</v>
      </c>
      <c r="AW85" s="2" t="s">
        <v>617</v>
      </c>
      <c r="AY85" s="2" t="s">
        <v>667</v>
      </c>
      <c r="BA85" s="2" t="s">
        <v>719</v>
      </c>
      <c r="BC85" s="2" t="s">
        <v>773</v>
      </c>
      <c r="BE85" s="2" t="s">
        <v>829</v>
      </c>
      <c r="BG85" s="2" t="s">
        <v>907</v>
      </c>
      <c r="BI85" s="2" t="s">
        <v>968</v>
      </c>
      <c r="BK85" s="2" t="s">
        <v>1031</v>
      </c>
      <c r="BM85" s="2" t="s">
        <v>1096</v>
      </c>
      <c r="BO85" s="2" t="s">
        <v>1163</v>
      </c>
      <c r="BQ85" s="2" t="s">
        <v>1232</v>
      </c>
      <c r="BS85" s="2" t="s">
        <v>1303</v>
      </c>
      <c r="BU85" s="2" t="s">
        <v>1376</v>
      </c>
      <c r="BW85" s="2" t="s">
        <v>1451</v>
      </c>
      <c r="BY85" s="2" t="s">
        <v>1528</v>
      </c>
      <c r="CA85" s="2" t="s">
        <v>1607</v>
      </c>
      <c r="CC85" s="2" t="s">
        <v>1688</v>
      </c>
      <c r="CE85" s="2" t="s">
        <v>1771</v>
      </c>
      <c r="CG85" s="2" t="s">
        <v>1856</v>
      </c>
      <c r="CI85" s="2" t="s">
        <v>1943</v>
      </c>
      <c r="CK85" s="2" t="s">
        <v>2032</v>
      </c>
      <c r="CM85" s="2" t="s">
        <v>2123</v>
      </c>
      <c r="CO85" s="2" t="s">
        <v>2216</v>
      </c>
      <c r="CQ85" s="2" t="s">
        <v>2311</v>
      </c>
      <c r="CS85" s="2" t="s">
        <v>2408</v>
      </c>
      <c r="CU85" s="2" t="s">
        <v>2507</v>
      </c>
    </row>
    <row r="87" spans="5:99" x14ac:dyDescent="0.2">
      <c r="M87" s="2" t="s">
        <v>60</v>
      </c>
      <c r="O87" s="2" t="s">
        <v>74</v>
      </c>
      <c r="Q87" s="2" t="s">
        <v>90</v>
      </c>
      <c r="S87" s="2" t="s">
        <v>108</v>
      </c>
      <c r="U87" s="2" t="s">
        <v>128</v>
      </c>
      <c r="W87" s="2" t="s">
        <v>150</v>
      </c>
      <c r="Y87" s="2" t="s">
        <v>174</v>
      </c>
      <c r="AA87" s="2" t="s">
        <v>200</v>
      </c>
      <c r="AC87" s="2" t="s">
        <v>228</v>
      </c>
      <c r="AE87" s="2" t="s">
        <v>258</v>
      </c>
      <c r="AG87" s="2" t="s">
        <v>290</v>
      </c>
      <c r="AI87" s="2" t="s">
        <v>324</v>
      </c>
      <c r="AK87" s="2" t="s">
        <v>360</v>
      </c>
      <c r="AM87" s="2" t="s">
        <v>398</v>
      </c>
      <c r="AO87" s="2" t="s">
        <v>438</v>
      </c>
      <c r="AQ87" s="2" t="s">
        <v>480</v>
      </c>
      <c r="AS87" s="2" t="s">
        <v>524</v>
      </c>
      <c r="AU87" s="2" t="s">
        <v>570</v>
      </c>
      <c r="AW87" s="2" t="s">
        <v>618</v>
      </c>
      <c r="AY87" s="2" t="s">
        <v>668</v>
      </c>
      <c r="BA87" s="2" t="s">
        <v>720</v>
      </c>
      <c r="BC87" s="2" t="s">
        <v>774</v>
      </c>
      <c r="BE87" s="2" t="s">
        <v>830</v>
      </c>
      <c r="BG87" s="2" t="s">
        <v>908</v>
      </c>
      <c r="BI87" s="2" t="s">
        <v>969</v>
      </c>
      <c r="BK87" s="2" t="s">
        <v>1032</v>
      </c>
      <c r="BM87" s="2" t="s">
        <v>1097</v>
      </c>
      <c r="BO87" s="2" t="s">
        <v>1164</v>
      </c>
      <c r="BQ87" s="2" t="s">
        <v>1233</v>
      </c>
      <c r="BS87" s="2" t="s">
        <v>1304</v>
      </c>
      <c r="BU87" s="2" t="s">
        <v>1377</v>
      </c>
      <c r="BW87" s="2" t="s">
        <v>1452</v>
      </c>
      <c r="BY87" s="2" t="s">
        <v>1529</v>
      </c>
      <c r="CA87" s="2" t="s">
        <v>1608</v>
      </c>
      <c r="CC87" s="2" t="s">
        <v>1689</v>
      </c>
      <c r="CE87" s="2" t="s">
        <v>1772</v>
      </c>
      <c r="CG87" s="2" t="s">
        <v>1857</v>
      </c>
      <c r="CI87" s="2" t="s">
        <v>1944</v>
      </c>
      <c r="CK87" s="2" t="s">
        <v>2033</v>
      </c>
      <c r="CM87" s="2" t="s">
        <v>2124</v>
      </c>
      <c r="CO87" s="2" t="s">
        <v>2217</v>
      </c>
      <c r="CQ87" s="2" t="s">
        <v>2312</v>
      </c>
      <c r="CS87" s="2" t="s">
        <v>2409</v>
      </c>
      <c r="CU87" s="2" t="s">
        <v>2508</v>
      </c>
    </row>
    <row r="89" spans="5:99" x14ac:dyDescent="0.2">
      <c r="K89" s="2" t="s">
        <v>49</v>
      </c>
      <c r="M89" s="2" t="s">
        <v>61</v>
      </c>
      <c r="O89" s="2" t="s">
        <v>75</v>
      </c>
      <c r="Q89" s="2" t="s">
        <v>91</v>
      </c>
      <c r="S89" s="2" t="s">
        <v>109</v>
      </c>
      <c r="U89" s="2" t="s">
        <v>129</v>
      </c>
      <c r="W89" s="2" t="s">
        <v>151</v>
      </c>
      <c r="Y89" s="2" t="s">
        <v>175</v>
      </c>
      <c r="AA89" s="2" t="s">
        <v>201</v>
      </c>
      <c r="AC89" s="2" t="s">
        <v>229</v>
      </c>
      <c r="AE89" s="2" t="s">
        <v>259</v>
      </c>
      <c r="AG89" s="2" t="s">
        <v>291</v>
      </c>
      <c r="AI89" s="2" t="s">
        <v>325</v>
      </c>
      <c r="AK89" s="2" t="s">
        <v>361</v>
      </c>
      <c r="AM89" s="2" t="s">
        <v>399</v>
      </c>
      <c r="AO89" s="2" t="s">
        <v>439</v>
      </c>
      <c r="AQ89" s="2" t="s">
        <v>481</v>
      </c>
      <c r="AS89" s="2" t="s">
        <v>525</v>
      </c>
      <c r="AU89" s="2" t="s">
        <v>571</v>
      </c>
      <c r="AW89" s="2" t="s">
        <v>619</v>
      </c>
      <c r="AY89" s="2" t="s">
        <v>669</v>
      </c>
      <c r="BA89" s="2" t="s">
        <v>721</v>
      </c>
      <c r="BC89" s="2" t="s">
        <v>775</v>
      </c>
      <c r="BE89" s="2" t="s">
        <v>831</v>
      </c>
      <c r="BG89" s="2" t="s">
        <v>909</v>
      </c>
      <c r="BI89" s="2" t="s">
        <v>970</v>
      </c>
      <c r="BK89" s="2" t="s">
        <v>1033</v>
      </c>
      <c r="BM89" s="2" t="s">
        <v>1098</v>
      </c>
      <c r="BO89" s="2" t="s">
        <v>1165</v>
      </c>
      <c r="BQ89" s="2" t="s">
        <v>1234</v>
      </c>
      <c r="BS89" s="2" t="s">
        <v>1305</v>
      </c>
      <c r="BU89" s="2" t="s">
        <v>1378</v>
      </c>
      <c r="BW89" s="2" t="s">
        <v>1453</v>
      </c>
      <c r="BY89" s="2" t="s">
        <v>1530</v>
      </c>
      <c r="CA89" s="2" t="s">
        <v>1609</v>
      </c>
      <c r="CC89" s="2" t="s">
        <v>1690</v>
      </c>
      <c r="CE89" s="2" t="s">
        <v>1773</v>
      </c>
      <c r="CG89" s="2" t="s">
        <v>1858</v>
      </c>
      <c r="CI89" s="2" t="s">
        <v>1945</v>
      </c>
      <c r="CK89" s="2" t="s">
        <v>2034</v>
      </c>
      <c r="CM89" s="2" t="s">
        <v>2125</v>
      </c>
      <c r="CO89" s="2" t="s">
        <v>2218</v>
      </c>
      <c r="CQ89" s="2" t="s">
        <v>2313</v>
      </c>
      <c r="CS89" s="2" t="s">
        <v>2410</v>
      </c>
      <c r="CU89" s="2" t="s">
        <v>2509</v>
      </c>
    </row>
    <row r="91" spans="5:99" x14ac:dyDescent="0.2">
      <c r="I91" s="2" t="s">
        <v>40</v>
      </c>
      <c r="K91" s="2" t="s">
        <v>50</v>
      </c>
      <c r="M91" s="2" t="s">
        <v>62</v>
      </c>
      <c r="O91" s="2" t="s">
        <v>76</v>
      </c>
      <c r="Q91" s="2" t="s">
        <v>92</v>
      </c>
      <c r="S91" s="2" t="s">
        <v>110</v>
      </c>
      <c r="U91" s="2" t="s">
        <v>130</v>
      </c>
      <c r="W91" s="2" t="s">
        <v>152</v>
      </c>
      <c r="Y91" s="2" t="s">
        <v>176</v>
      </c>
      <c r="AA91" s="2" t="s">
        <v>202</v>
      </c>
      <c r="AC91" s="2" t="s">
        <v>230</v>
      </c>
      <c r="AE91" s="2" t="s">
        <v>260</v>
      </c>
      <c r="AG91" s="2" t="s">
        <v>292</v>
      </c>
      <c r="AI91" s="2" t="s">
        <v>326</v>
      </c>
      <c r="AK91" s="2" t="s">
        <v>362</v>
      </c>
      <c r="AM91" s="2" t="s">
        <v>400</v>
      </c>
      <c r="AO91" s="2" t="s">
        <v>440</v>
      </c>
      <c r="AQ91" s="2" t="s">
        <v>482</v>
      </c>
      <c r="AS91" s="2" t="s">
        <v>526</v>
      </c>
      <c r="AU91" s="2" t="s">
        <v>572</v>
      </c>
      <c r="AW91" s="2" t="s">
        <v>620</v>
      </c>
      <c r="AY91" s="2" t="s">
        <v>670</v>
      </c>
      <c r="BA91" s="2" t="s">
        <v>722</v>
      </c>
      <c r="BC91" s="2" t="s">
        <v>776</v>
      </c>
      <c r="BE91" s="2" t="s">
        <v>832</v>
      </c>
      <c r="BG91" s="2" t="s">
        <v>910</v>
      </c>
      <c r="BI91" s="2" t="s">
        <v>971</v>
      </c>
      <c r="BK91" s="2" t="s">
        <v>1034</v>
      </c>
      <c r="BM91" s="2" t="s">
        <v>1099</v>
      </c>
      <c r="BO91" s="2" t="s">
        <v>1166</v>
      </c>
      <c r="BQ91" s="2" t="s">
        <v>1235</v>
      </c>
      <c r="BS91" s="2" t="s">
        <v>1306</v>
      </c>
      <c r="BU91" s="2" t="s">
        <v>1379</v>
      </c>
      <c r="BW91" s="2" t="s">
        <v>1454</v>
      </c>
      <c r="BY91" s="2" t="s">
        <v>1531</v>
      </c>
      <c r="CA91" s="2" t="s">
        <v>1610</v>
      </c>
      <c r="CC91" s="2" t="s">
        <v>1691</v>
      </c>
      <c r="CE91" s="2" t="s">
        <v>1774</v>
      </c>
      <c r="CG91" s="2" t="s">
        <v>1859</v>
      </c>
      <c r="CI91" s="2" t="s">
        <v>1946</v>
      </c>
      <c r="CK91" s="2" t="s">
        <v>2035</v>
      </c>
      <c r="CM91" s="2" t="s">
        <v>2126</v>
      </c>
      <c r="CO91" s="2" t="s">
        <v>2219</v>
      </c>
      <c r="CQ91" s="2" t="s">
        <v>2314</v>
      </c>
      <c r="CS91" s="2" t="s">
        <v>2411</v>
      </c>
      <c r="CU91" s="2" t="s">
        <v>2510</v>
      </c>
    </row>
    <row r="93" spans="5:99" x14ac:dyDescent="0.2">
      <c r="G93" s="2" t="s">
        <v>33</v>
      </c>
      <c r="I93" s="2" t="s">
        <v>41</v>
      </c>
      <c r="K93" s="2" t="s">
        <v>51</v>
      </c>
      <c r="M93" s="2" t="s">
        <v>63</v>
      </c>
      <c r="O93" s="2" t="s">
        <v>77</v>
      </c>
      <c r="Q93" s="2" t="s">
        <v>93</v>
      </c>
      <c r="S93" s="2" t="s">
        <v>111</v>
      </c>
      <c r="U93" s="2" t="s">
        <v>131</v>
      </c>
      <c r="W93" s="2" t="s">
        <v>153</v>
      </c>
      <c r="Y93" s="2" t="s">
        <v>177</v>
      </c>
      <c r="AA93" s="2" t="s">
        <v>203</v>
      </c>
      <c r="AC93" s="2" t="s">
        <v>231</v>
      </c>
      <c r="AE93" s="2" t="s">
        <v>261</v>
      </c>
      <c r="AG93" s="2" t="s">
        <v>293</v>
      </c>
      <c r="AI93" s="2" t="s">
        <v>327</v>
      </c>
      <c r="AK93" s="2" t="s">
        <v>363</v>
      </c>
      <c r="AM93" s="2" t="s">
        <v>401</v>
      </c>
      <c r="AO93" s="2" t="s">
        <v>441</v>
      </c>
      <c r="AQ93" s="2" t="s">
        <v>483</v>
      </c>
      <c r="AS93" s="2" t="s">
        <v>527</v>
      </c>
      <c r="AU93" s="2" t="s">
        <v>573</v>
      </c>
      <c r="AW93" s="2" t="s">
        <v>621</v>
      </c>
      <c r="AY93" s="2" t="s">
        <v>671</v>
      </c>
      <c r="BA93" s="2" t="s">
        <v>723</v>
      </c>
      <c r="BC93" s="2" t="s">
        <v>777</v>
      </c>
      <c r="BE93" s="2" t="s">
        <v>833</v>
      </c>
      <c r="BG93" s="2" t="s">
        <v>911</v>
      </c>
      <c r="BI93" s="2" t="s">
        <v>972</v>
      </c>
      <c r="BK93" s="2" t="s">
        <v>1035</v>
      </c>
      <c r="BM93" s="2" t="s">
        <v>1100</v>
      </c>
      <c r="BO93" s="2" t="s">
        <v>1167</v>
      </c>
      <c r="BQ93" s="2" t="s">
        <v>1236</v>
      </c>
      <c r="BS93" s="2" t="s">
        <v>1307</v>
      </c>
      <c r="BU93" s="2" t="s">
        <v>1380</v>
      </c>
      <c r="BW93" s="2" t="s">
        <v>1455</v>
      </c>
      <c r="BY93" s="2" t="s">
        <v>1532</v>
      </c>
      <c r="CA93" s="2" t="s">
        <v>1611</v>
      </c>
      <c r="CC93" s="2" t="s">
        <v>1692</v>
      </c>
      <c r="CE93" s="2" t="s">
        <v>1775</v>
      </c>
      <c r="CG93" s="2" t="s">
        <v>1860</v>
      </c>
      <c r="CI93" s="2" t="s">
        <v>1947</v>
      </c>
      <c r="CK93" s="2" t="s">
        <v>2036</v>
      </c>
      <c r="CM93" s="2" t="s">
        <v>2127</v>
      </c>
      <c r="CO93" s="2" t="s">
        <v>2220</v>
      </c>
      <c r="CQ93" s="2" t="s">
        <v>2315</v>
      </c>
      <c r="CS93" s="2" t="s">
        <v>2412</v>
      </c>
      <c r="CU93" s="2" t="s">
        <v>2511</v>
      </c>
    </row>
    <row r="95" spans="5:99" x14ac:dyDescent="0.2">
      <c r="E95" s="2" t="s">
        <v>28</v>
      </c>
      <c r="G95" s="2" t="s">
        <v>34</v>
      </c>
      <c r="I95" s="2" t="s">
        <v>42</v>
      </c>
      <c r="K95" s="2" t="s">
        <v>52</v>
      </c>
      <c r="M95" s="2" t="s">
        <v>64</v>
      </c>
      <c r="O95" s="2" t="s">
        <v>78</v>
      </c>
      <c r="Q95" s="2" t="s">
        <v>94</v>
      </c>
      <c r="S95" s="2" t="s">
        <v>112</v>
      </c>
      <c r="U95" s="2" t="s">
        <v>132</v>
      </c>
      <c r="W95" s="2" t="s">
        <v>154</v>
      </c>
      <c r="Y95" s="2" t="s">
        <v>178</v>
      </c>
      <c r="AA95" s="2" t="s">
        <v>204</v>
      </c>
      <c r="AC95" s="2" t="s">
        <v>232</v>
      </c>
      <c r="AE95" s="2" t="s">
        <v>262</v>
      </c>
      <c r="AG95" s="2" t="s">
        <v>294</v>
      </c>
      <c r="AI95" s="2" t="s">
        <v>328</v>
      </c>
      <c r="AK95" s="2" t="s">
        <v>364</v>
      </c>
      <c r="AM95" s="2" t="s">
        <v>402</v>
      </c>
      <c r="AO95" s="2" t="s">
        <v>442</v>
      </c>
      <c r="AQ95" s="2" t="s">
        <v>484</v>
      </c>
      <c r="AS95" s="2" t="s">
        <v>528</v>
      </c>
      <c r="AU95" s="2" t="s">
        <v>574</v>
      </c>
      <c r="AW95" s="2" t="s">
        <v>622</v>
      </c>
      <c r="AY95" s="2" t="s">
        <v>672</v>
      </c>
      <c r="BA95" s="2" t="s">
        <v>724</v>
      </c>
      <c r="BC95" s="2" t="s">
        <v>778</v>
      </c>
      <c r="BE95" s="2" t="s">
        <v>834</v>
      </c>
      <c r="BG95" s="2" t="s">
        <v>912</v>
      </c>
      <c r="BI95" s="2" t="s">
        <v>973</v>
      </c>
      <c r="BK95" s="2" t="s">
        <v>1036</v>
      </c>
      <c r="BM95" s="2" t="s">
        <v>1101</v>
      </c>
      <c r="BO95" s="2" t="s">
        <v>1168</v>
      </c>
      <c r="BQ95" s="2" t="s">
        <v>1237</v>
      </c>
      <c r="BS95" s="2" t="s">
        <v>1308</v>
      </c>
      <c r="BU95" s="2" t="s">
        <v>1381</v>
      </c>
      <c r="BW95" s="2" t="s">
        <v>1456</v>
      </c>
      <c r="BY95" s="2" t="s">
        <v>1533</v>
      </c>
      <c r="CA95" s="2" t="s">
        <v>1612</v>
      </c>
      <c r="CC95" s="2" t="s">
        <v>1693</v>
      </c>
      <c r="CE95" s="2" t="s">
        <v>1776</v>
      </c>
      <c r="CG95" s="2" t="s">
        <v>1861</v>
      </c>
      <c r="CI95" s="2" t="s">
        <v>1948</v>
      </c>
      <c r="CK95" s="2" t="s">
        <v>2037</v>
      </c>
      <c r="CM95" s="2" t="s">
        <v>2128</v>
      </c>
      <c r="CO95" s="2" t="s">
        <v>2221</v>
      </c>
      <c r="CQ95" s="2" t="s">
        <v>2316</v>
      </c>
      <c r="CS95" s="2" t="s">
        <v>2413</v>
      </c>
      <c r="CU95" s="2" t="s">
        <v>2512</v>
      </c>
    </row>
    <row r="97" spans="1:99" x14ac:dyDescent="0.2">
      <c r="C97" s="2" t="s">
        <v>25</v>
      </c>
      <c r="E97" s="2" t="s">
        <v>29</v>
      </c>
      <c r="G97" s="2" t="s">
        <v>35</v>
      </c>
      <c r="I97" s="2" t="s">
        <v>43</v>
      </c>
      <c r="K97" s="2" t="s">
        <v>53</v>
      </c>
      <c r="M97" s="2" t="s">
        <v>65</v>
      </c>
      <c r="O97" s="2" t="s">
        <v>79</v>
      </c>
      <c r="Q97" s="2" t="s">
        <v>95</v>
      </c>
      <c r="S97" s="2" t="s">
        <v>113</v>
      </c>
      <c r="U97" s="2" t="s">
        <v>133</v>
      </c>
      <c r="W97" s="2" t="s">
        <v>155</v>
      </c>
      <c r="Y97" s="2" t="s">
        <v>179</v>
      </c>
      <c r="AA97" s="2" t="s">
        <v>205</v>
      </c>
      <c r="AC97" s="2" t="s">
        <v>233</v>
      </c>
      <c r="AE97" s="2" t="s">
        <v>263</v>
      </c>
      <c r="AG97" s="2" t="s">
        <v>295</v>
      </c>
      <c r="AI97" s="2" t="s">
        <v>329</v>
      </c>
      <c r="AK97" s="2" t="s">
        <v>365</v>
      </c>
      <c r="AM97" s="2" t="s">
        <v>403</v>
      </c>
      <c r="AO97" s="2" t="s">
        <v>443</v>
      </c>
      <c r="AQ97" s="2" t="s">
        <v>485</v>
      </c>
      <c r="AS97" s="2" t="s">
        <v>529</v>
      </c>
      <c r="AU97" s="2" t="s">
        <v>575</v>
      </c>
      <c r="AW97" s="2" t="s">
        <v>623</v>
      </c>
      <c r="AY97" s="2" t="s">
        <v>673</v>
      </c>
      <c r="BA97" s="2" t="s">
        <v>725</v>
      </c>
      <c r="BC97" s="2" t="s">
        <v>779</v>
      </c>
      <c r="BE97" s="2" t="s">
        <v>835</v>
      </c>
      <c r="BG97" s="2" t="s">
        <v>913</v>
      </c>
      <c r="BI97" s="2" t="s">
        <v>974</v>
      </c>
      <c r="BK97" s="2" t="s">
        <v>1037</v>
      </c>
      <c r="BM97" s="2" t="s">
        <v>1102</v>
      </c>
      <c r="BO97" s="2" t="s">
        <v>1169</v>
      </c>
      <c r="BQ97" s="2" t="s">
        <v>1238</v>
      </c>
      <c r="BS97" s="2" t="s">
        <v>1309</v>
      </c>
      <c r="BU97" s="2" t="s">
        <v>1382</v>
      </c>
      <c r="BW97" s="2" t="s">
        <v>1457</v>
      </c>
      <c r="BY97" s="2" t="s">
        <v>1534</v>
      </c>
      <c r="CA97" s="2" t="s">
        <v>1613</v>
      </c>
      <c r="CC97" s="2" t="s">
        <v>1694</v>
      </c>
      <c r="CE97" s="2" t="s">
        <v>1777</v>
      </c>
      <c r="CG97" s="2" t="s">
        <v>1862</v>
      </c>
      <c r="CI97" s="2" t="s">
        <v>1949</v>
      </c>
      <c r="CK97" s="2" t="s">
        <v>2038</v>
      </c>
      <c r="CM97" s="2" t="s">
        <v>2129</v>
      </c>
      <c r="CO97" s="2" t="s">
        <v>2222</v>
      </c>
      <c r="CQ97" s="2" t="s">
        <v>2317</v>
      </c>
      <c r="CS97" s="2" t="s">
        <v>2414</v>
      </c>
      <c r="CU97" s="2" t="s">
        <v>2513</v>
      </c>
    </row>
    <row r="99" spans="1:99" x14ac:dyDescent="0.2">
      <c r="A99" s="2" t="s">
        <v>24</v>
      </c>
      <c r="C99" s="2" t="s">
        <v>26</v>
      </c>
      <c r="E99" s="2" t="s">
        <v>30</v>
      </c>
      <c r="G99" s="2" t="s">
        <v>36</v>
      </c>
      <c r="I99" s="2" t="s">
        <v>44</v>
      </c>
      <c r="K99" s="2" t="s">
        <v>54</v>
      </c>
      <c r="M99" s="2" t="s">
        <v>66</v>
      </c>
      <c r="O99" s="2" t="s">
        <v>80</v>
      </c>
      <c r="Q99" s="2" t="s">
        <v>96</v>
      </c>
      <c r="S99" s="2" t="s">
        <v>114</v>
      </c>
      <c r="U99" s="2" t="s">
        <v>134</v>
      </c>
      <c r="W99" s="2" t="s">
        <v>156</v>
      </c>
      <c r="Y99" s="2" t="s">
        <v>180</v>
      </c>
      <c r="AA99" s="2" t="s">
        <v>206</v>
      </c>
      <c r="AC99" s="2" t="s">
        <v>234</v>
      </c>
      <c r="AE99" s="2" t="s">
        <v>264</v>
      </c>
      <c r="AG99" s="2" t="s">
        <v>296</v>
      </c>
      <c r="AI99" s="2" t="s">
        <v>330</v>
      </c>
      <c r="AK99" s="2" t="s">
        <v>366</v>
      </c>
      <c r="AM99" s="2" t="s">
        <v>404</v>
      </c>
      <c r="AO99" s="2" t="s">
        <v>444</v>
      </c>
      <c r="AQ99" s="2" t="s">
        <v>486</v>
      </c>
      <c r="AS99" s="2" t="s">
        <v>530</v>
      </c>
      <c r="AU99" s="2" t="s">
        <v>576</v>
      </c>
      <c r="AW99" s="2" t="s">
        <v>624</v>
      </c>
      <c r="AY99" s="2" t="s">
        <v>674</v>
      </c>
      <c r="BA99" s="2" t="s">
        <v>726</v>
      </c>
      <c r="BC99" s="2" t="s">
        <v>780</v>
      </c>
      <c r="BE99" s="2" t="s">
        <v>836</v>
      </c>
      <c r="BG99" s="2" t="s">
        <v>914</v>
      </c>
      <c r="BI99" s="2" t="s">
        <v>975</v>
      </c>
      <c r="BK99" s="2" t="s">
        <v>1038</v>
      </c>
      <c r="BM99" s="2" t="s">
        <v>1103</v>
      </c>
      <c r="BO99" s="2" t="s">
        <v>1170</v>
      </c>
      <c r="BQ99" s="2" t="s">
        <v>1239</v>
      </c>
      <c r="BS99" s="2" t="s">
        <v>1310</v>
      </c>
      <c r="BU99" s="2" t="s">
        <v>1383</v>
      </c>
      <c r="BW99" s="2" t="s">
        <v>1458</v>
      </c>
      <c r="BY99" s="2" t="s">
        <v>1535</v>
      </c>
      <c r="CA99" s="2" t="s">
        <v>1614</v>
      </c>
      <c r="CC99" s="2" t="s">
        <v>1695</v>
      </c>
      <c r="CE99" s="2" t="s">
        <v>1778</v>
      </c>
      <c r="CG99" s="2" t="s">
        <v>1863</v>
      </c>
      <c r="CI99" s="2" t="s">
        <v>1950</v>
      </c>
      <c r="CK99" s="2" t="s">
        <v>2039</v>
      </c>
      <c r="CM99" s="2" t="s">
        <v>2130</v>
      </c>
      <c r="CO99" s="2" t="s">
        <v>2223</v>
      </c>
      <c r="CQ99" s="2" t="s">
        <v>2318</v>
      </c>
      <c r="CS99" s="2" t="s">
        <v>2415</v>
      </c>
      <c r="CU99" s="2" t="s">
        <v>2514</v>
      </c>
    </row>
    <row r="101" spans="1:99" x14ac:dyDescent="0.2">
      <c r="C101" s="2" t="s">
        <v>27</v>
      </c>
      <c r="E101" s="2" t="s">
        <v>31</v>
      </c>
      <c r="G101" s="2" t="s">
        <v>37</v>
      </c>
      <c r="I101" s="2" t="s">
        <v>45</v>
      </c>
      <c r="K101" s="2" t="s">
        <v>55</v>
      </c>
      <c r="M101" s="2" t="s">
        <v>67</v>
      </c>
      <c r="O101" s="2" t="s">
        <v>81</v>
      </c>
      <c r="Q101" s="2" t="s">
        <v>97</v>
      </c>
      <c r="S101" s="2" t="s">
        <v>115</v>
      </c>
      <c r="U101" s="2" t="s">
        <v>135</v>
      </c>
      <c r="W101" s="2" t="s">
        <v>157</v>
      </c>
      <c r="Y101" s="2" t="s">
        <v>181</v>
      </c>
      <c r="AA101" s="2" t="s">
        <v>207</v>
      </c>
      <c r="AC101" s="2" t="s">
        <v>235</v>
      </c>
      <c r="AE101" s="2" t="s">
        <v>265</v>
      </c>
      <c r="AG101" s="2" t="s">
        <v>297</v>
      </c>
      <c r="AI101" s="2" t="s">
        <v>331</v>
      </c>
      <c r="AK101" s="2" t="s">
        <v>367</v>
      </c>
      <c r="AM101" s="2" t="s">
        <v>405</v>
      </c>
      <c r="AO101" s="2" t="s">
        <v>445</v>
      </c>
      <c r="AQ101" s="2" t="s">
        <v>487</v>
      </c>
      <c r="AS101" s="2" t="s">
        <v>531</v>
      </c>
      <c r="AU101" s="2" t="s">
        <v>577</v>
      </c>
      <c r="AW101" s="2" t="s">
        <v>625</v>
      </c>
      <c r="AY101" s="2" t="s">
        <v>675</v>
      </c>
      <c r="BA101" s="2" t="s">
        <v>727</v>
      </c>
      <c r="BC101" s="2" t="s">
        <v>781</v>
      </c>
      <c r="BE101" s="2" t="s">
        <v>837</v>
      </c>
      <c r="BG101" s="2" t="s">
        <v>915</v>
      </c>
      <c r="BI101" s="2" t="s">
        <v>976</v>
      </c>
      <c r="BK101" s="2" t="s">
        <v>1039</v>
      </c>
      <c r="BM101" s="2" t="s">
        <v>1104</v>
      </c>
      <c r="BO101" s="2" t="s">
        <v>1171</v>
      </c>
      <c r="BQ101" s="2" t="s">
        <v>1240</v>
      </c>
      <c r="BS101" s="2" t="s">
        <v>1311</v>
      </c>
      <c r="BU101" s="2" t="s">
        <v>1384</v>
      </c>
      <c r="BW101" s="2" t="s">
        <v>1459</v>
      </c>
      <c r="BY101" s="2" t="s">
        <v>1536</v>
      </c>
      <c r="CA101" s="2" t="s">
        <v>1615</v>
      </c>
      <c r="CC101" s="2" t="s">
        <v>1696</v>
      </c>
      <c r="CE101" s="2" t="s">
        <v>1779</v>
      </c>
      <c r="CG101" s="2" t="s">
        <v>1864</v>
      </c>
      <c r="CI101" s="2" t="s">
        <v>1951</v>
      </c>
      <c r="CK101" s="2" t="s">
        <v>2040</v>
      </c>
      <c r="CM101" s="2" t="s">
        <v>2131</v>
      </c>
      <c r="CO101" s="2" t="s">
        <v>2224</v>
      </c>
      <c r="CQ101" s="2" t="s">
        <v>2319</v>
      </c>
      <c r="CS101" s="2" t="s">
        <v>2416</v>
      </c>
      <c r="CU101" s="2" t="s">
        <v>2515</v>
      </c>
    </row>
    <row r="103" spans="1:99" x14ac:dyDescent="0.2">
      <c r="E103" s="2" t="s">
        <v>32</v>
      </c>
      <c r="G103" s="2" t="s">
        <v>38</v>
      </c>
      <c r="I103" s="2" t="s">
        <v>46</v>
      </c>
      <c r="K103" s="2" t="s">
        <v>56</v>
      </c>
      <c r="M103" s="2" t="s">
        <v>68</v>
      </c>
      <c r="O103" s="2" t="s">
        <v>82</v>
      </c>
      <c r="Q103" s="2" t="s">
        <v>98</v>
      </c>
      <c r="S103" s="2" t="s">
        <v>116</v>
      </c>
      <c r="U103" s="2" t="s">
        <v>136</v>
      </c>
      <c r="W103" s="2" t="s">
        <v>158</v>
      </c>
      <c r="Y103" s="2" t="s">
        <v>182</v>
      </c>
      <c r="AA103" s="2" t="s">
        <v>208</v>
      </c>
      <c r="AC103" s="2" t="s">
        <v>236</v>
      </c>
      <c r="AE103" s="2" t="s">
        <v>266</v>
      </c>
      <c r="AG103" s="2" t="s">
        <v>298</v>
      </c>
      <c r="AI103" s="2" t="s">
        <v>332</v>
      </c>
      <c r="AK103" s="2" t="s">
        <v>368</v>
      </c>
      <c r="AM103" s="2" t="s">
        <v>406</v>
      </c>
      <c r="AO103" s="2" t="s">
        <v>446</v>
      </c>
      <c r="AQ103" s="2" t="s">
        <v>488</v>
      </c>
      <c r="AS103" s="2" t="s">
        <v>532</v>
      </c>
      <c r="AU103" s="2" t="s">
        <v>578</v>
      </c>
      <c r="AW103" s="2" t="s">
        <v>626</v>
      </c>
      <c r="AY103" s="2" t="s">
        <v>676</v>
      </c>
      <c r="BA103" s="2" t="s">
        <v>728</v>
      </c>
      <c r="BC103" s="2" t="s">
        <v>782</v>
      </c>
      <c r="BE103" s="2" t="s">
        <v>838</v>
      </c>
      <c r="BG103" s="2" t="s">
        <v>916</v>
      </c>
      <c r="BI103" s="2" t="s">
        <v>977</v>
      </c>
      <c r="BK103" s="2" t="s">
        <v>1040</v>
      </c>
      <c r="BM103" s="2" t="s">
        <v>1105</v>
      </c>
      <c r="BO103" s="2" t="s">
        <v>1172</v>
      </c>
      <c r="BQ103" s="2" t="s">
        <v>1241</v>
      </c>
      <c r="BS103" s="2" t="s">
        <v>1312</v>
      </c>
      <c r="BU103" s="2" t="s">
        <v>1385</v>
      </c>
      <c r="BW103" s="2" t="s">
        <v>1460</v>
      </c>
      <c r="BY103" s="2" t="s">
        <v>1537</v>
      </c>
      <c r="CA103" s="2" t="s">
        <v>1616</v>
      </c>
      <c r="CC103" s="2" t="s">
        <v>1697</v>
      </c>
      <c r="CE103" s="2" t="s">
        <v>1780</v>
      </c>
      <c r="CG103" s="2" t="s">
        <v>1865</v>
      </c>
      <c r="CI103" s="2" t="s">
        <v>1952</v>
      </c>
      <c r="CK103" s="2" t="s">
        <v>2041</v>
      </c>
      <c r="CM103" s="2" t="s">
        <v>2132</v>
      </c>
      <c r="CO103" s="2" t="s">
        <v>2225</v>
      </c>
      <c r="CQ103" s="2" t="s">
        <v>2320</v>
      </c>
      <c r="CS103" s="2" t="s">
        <v>2417</v>
      </c>
      <c r="CU103" s="2" t="s">
        <v>2516</v>
      </c>
    </row>
    <row r="105" spans="1:99" x14ac:dyDescent="0.2">
      <c r="G105" s="2" t="s">
        <v>39</v>
      </c>
      <c r="I105" s="2" t="s">
        <v>47</v>
      </c>
      <c r="K105" s="2" t="s">
        <v>57</v>
      </c>
      <c r="M105" s="2" t="s">
        <v>69</v>
      </c>
      <c r="O105" s="2" t="s">
        <v>83</v>
      </c>
      <c r="Q105" s="2" t="s">
        <v>99</v>
      </c>
      <c r="S105" s="2" t="s">
        <v>117</v>
      </c>
      <c r="U105" s="2" t="s">
        <v>137</v>
      </c>
      <c r="W105" s="2" t="s">
        <v>159</v>
      </c>
      <c r="Y105" s="2" t="s">
        <v>183</v>
      </c>
      <c r="AA105" s="2" t="s">
        <v>209</v>
      </c>
      <c r="AC105" s="2" t="s">
        <v>237</v>
      </c>
      <c r="AE105" s="2" t="s">
        <v>267</v>
      </c>
      <c r="AG105" s="2" t="s">
        <v>299</v>
      </c>
      <c r="AI105" s="2" t="s">
        <v>333</v>
      </c>
      <c r="AK105" s="2" t="s">
        <v>369</v>
      </c>
      <c r="AM105" s="2" t="s">
        <v>407</v>
      </c>
      <c r="AO105" s="2" t="s">
        <v>447</v>
      </c>
      <c r="AQ105" s="2" t="s">
        <v>489</v>
      </c>
      <c r="AS105" s="2" t="s">
        <v>533</v>
      </c>
      <c r="AU105" s="2" t="s">
        <v>579</v>
      </c>
      <c r="AW105" s="2" t="s">
        <v>627</v>
      </c>
      <c r="AY105" s="2" t="s">
        <v>677</v>
      </c>
      <c r="BA105" s="2" t="s">
        <v>729</v>
      </c>
      <c r="BC105" s="2" t="s">
        <v>783</v>
      </c>
      <c r="BE105" s="2" t="s">
        <v>839</v>
      </c>
      <c r="BG105" s="2" t="s">
        <v>917</v>
      </c>
      <c r="BI105" s="2" t="s">
        <v>978</v>
      </c>
      <c r="BK105" s="2" t="s">
        <v>1041</v>
      </c>
      <c r="BM105" s="2" t="s">
        <v>1106</v>
      </c>
      <c r="BO105" s="2" t="s">
        <v>1173</v>
      </c>
      <c r="BQ105" s="2" t="s">
        <v>1242</v>
      </c>
      <c r="BS105" s="2" t="s">
        <v>1313</v>
      </c>
      <c r="BU105" s="2" t="s">
        <v>1386</v>
      </c>
      <c r="BW105" s="2" t="s">
        <v>1461</v>
      </c>
      <c r="BY105" s="2" t="s">
        <v>1538</v>
      </c>
      <c r="CA105" s="2" t="s">
        <v>1617</v>
      </c>
      <c r="CC105" s="2" t="s">
        <v>1698</v>
      </c>
      <c r="CE105" s="2" t="s">
        <v>1781</v>
      </c>
      <c r="CG105" s="2" t="s">
        <v>1866</v>
      </c>
      <c r="CI105" s="2" t="s">
        <v>1953</v>
      </c>
      <c r="CK105" s="2" t="s">
        <v>2042</v>
      </c>
      <c r="CM105" s="2" t="s">
        <v>2133</v>
      </c>
      <c r="CO105" s="2" t="s">
        <v>2226</v>
      </c>
      <c r="CQ105" s="2" t="s">
        <v>2321</v>
      </c>
      <c r="CS105" s="2" t="s">
        <v>2418</v>
      </c>
      <c r="CU105" s="2" t="s">
        <v>2517</v>
      </c>
    </row>
    <row r="107" spans="1:99" x14ac:dyDescent="0.2">
      <c r="I107" s="2" t="s">
        <v>48</v>
      </c>
      <c r="K107" s="2" t="s">
        <v>58</v>
      </c>
      <c r="M107" s="2" t="s">
        <v>70</v>
      </c>
      <c r="O107" s="2" t="s">
        <v>84</v>
      </c>
      <c r="Q107" s="2" t="s">
        <v>100</v>
      </c>
      <c r="S107" s="2" t="s">
        <v>118</v>
      </c>
      <c r="U107" s="2" t="s">
        <v>138</v>
      </c>
      <c r="W107" s="2" t="s">
        <v>160</v>
      </c>
      <c r="Y107" s="2" t="s">
        <v>184</v>
      </c>
      <c r="AA107" s="2" t="s">
        <v>210</v>
      </c>
      <c r="AC107" s="2" t="s">
        <v>238</v>
      </c>
      <c r="AE107" s="2" t="s">
        <v>268</v>
      </c>
      <c r="AG107" s="2" t="s">
        <v>300</v>
      </c>
      <c r="AI107" s="2" t="s">
        <v>334</v>
      </c>
      <c r="AK107" s="2" t="s">
        <v>370</v>
      </c>
      <c r="AM107" s="2" t="s">
        <v>408</v>
      </c>
      <c r="AO107" s="2" t="s">
        <v>448</v>
      </c>
      <c r="AQ107" s="2" t="s">
        <v>490</v>
      </c>
      <c r="AS107" s="2" t="s">
        <v>534</v>
      </c>
      <c r="AU107" s="2" t="s">
        <v>580</v>
      </c>
      <c r="AW107" s="2" t="s">
        <v>628</v>
      </c>
      <c r="AY107" s="2" t="s">
        <v>678</v>
      </c>
      <c r="BA107" s="2" t="s">
        <v>730</v>
      </c>
      <c r="BC107" s="2" t="s">
        <v>784</v>
      </c>
      <c r="BE107" s="2" t="s">
        <v>840</v>
      </c>
      <c r="BG107" s="2" t="s">
        <v>918</v>
      </c>
      <c r="BI107" s="2" t="s">
        <v>979</v>
      </c>
      <c r="BK107" s="2" t="s">
        <v>1042</v>
      </c>
      <c r="BM107" s="2" t="s">
        <v>1107</v>
      </c>
      <c r="BO107" s="2" t="s">
        <v>1174</v>
      </c>
      <c r="BQ107" s="2" t="s">
        <v>1243</v>
      </c>
      <c r="BS107" s="2" t="s">
        <v>1314</v>
      </c>
      <c r="BU107" s="2" t="s">
        <v>1387</v>
      </c>
      <c r="BW107" s="2" t="s">
        <v>1462</v>
      </c>
      <c r="BY107" s="2" t="s">
        <v>1539</v>
      </c>
      <c r="CA107" s="2" t="s">
        <v>1618</v>
      </c>
      <c r="CC107" s="2" t="s">
        <v>1699</v>
      </c>
      <c r="CE107" s="2" t="s">
        <v>1782</v>
      </c>
      <c r="CG107" s="2" t="s">
        <v>1867</v>
      </c>
      <c r="CI107" s="2" t="s">
        <v>1954</v>
      </c>
      <c r="CK107" s="2" t="s">
        <v>2043</v>
      </c>
      <c r="CM107" s="2" t="s">
        <v>2134</v>
      </c>
      <c r="CO107" s="2" t="s">
        <v>2227</v>
      </c>
      <c r="CQ107" s="2" t="s">
        <v>2322</v>
      </c>
      <c r="CS107" s="2" t="s">
        <v>2419</v>
      </c>
      <c r="CU107" s="2" t="s">
        <v>2518</v>
      </c>
    </row>
    <row r="109" spans="1:99" x14ac:dyDescent="0.2">
      <c r="K109" s="2" t="s">
        <v>59</v>
      </c>
      <c r="M109" s="2" t="s">
        <v>71</v>
      </c>
      <c r="O109" s="2" t="s">
        <v>85</v>
      </c>
      <c r="Q109" s="2" t="s">
        <v>101</v>
      </c>
      <c r="S109" s="2" t="s">
        <v>119</v>
      </c>
      <c r="U109" s="2" t="s">
        <v>139</v>
      </c>
      <c r="W109" s="2" t="s">
        <v>161</v>
      </c>
      <c r="Y109" s="2" t="s">
        <v>185</v>
      </c>
      <c r="AA109" s="2" t="s">
        <v>211</v>
      </c>
      <c r="AC109" s="2" t="s">
        <v>239</v>
      </c>
      <c r="AE109" s="2" t="s">
        <v>269</v>
      </c>
      <c r="AG109" s="2" t="s">
        <v>301</v>
      </c>
      <c r="AI109" s="2" t="s">
        <v>335</v>
      </c>
      <c r="AK109" s="2" t="s">
        <v>371</v>
      </c>
      <c r="AM109" s="2" t="s">
        <v>409</v>
      </c>
      <c r="AO109" s="2" t="s">
        <v>449</v>
      </c>
      <c r="AQ109" s="2" t="s">
        <v>491</v>
      </c>
      <c r="AS109" s="2" t="s">
        <v>535</v>
      </c>
      <c r="AU109" s="2" t="s">
        <v>581</v>
      </c>
      <c r="AW109" s="2" t="s">
        <v>629</v>
      </c>
      <c r="AY109" s="2" t="s">
        <v>679</v>
      </c>
      <c r="BA109" s="2" t="s">
        <v>731</v>
      </c>
      <c r="BC109" s="2" t="s">
        <v>785</v>
      </c>
      <c r="BE109" s="2" t="s">
        <v>841</v>
      </c>
      <c r="BG109" s="2" t="s">
        <v>919</v>
      </c>
      <c r="BI109" s="2" t="s">
        <v>980</v>
      </c>
      <c r="BK109" s="2" t="s">
        <v>1043</v>
      </c>
      <c r="BM109" s="2" t="s">
        <v>1108</v>
      </c>
      <c r="BO109" s="2" t="s">
        <v>1175</v>
      </c>
      <c r="BQ109" s="2" t="s">
        <v>1244</v>
      </c>
      <c r="BS109" s="2" t="s">
        <v>1315</v>
      </c>
      <c r="BU109" s="2" t="s">
        <v>1388</v>
      </c>
      <c r="BW109" s="2" t="s">
        <v>1463</v>
      </c>
      <c r="BY109" s="2" t="s">
        <v>1540</v>
      </c>
      <c r="CA109" s="2" t="s">
        <v>1619</v>
      </c>
      <c r="CC109" s="2" t="s">
        <v>1700</v>
      </c>
      <c r="CE109" s="2" t="s">
        <v>1783</v>
      </c>
      <c r="CG109" s="2" t="s">
        <v>1868</v>
      </c>
      <c r="CI109" s="2" t="s">
        <v>1955</v>
      </c>
      <c r="CK109" s="2" t="s">
        <v>2044</v>
      </c>
      <c r="CM109" s="2" t="s">
        <v>2135</v>
      </c>
      <c r="CO109" s="2" t="s">
        <v>2228</v>
      </c>
      <c r="CQ109" s="2" t="s">
        <v>2323</v>
      </c>
      <c r="CS109" s="2" t="s">
        <v>2420</v>
      </c>
      <c r="CU109" s="2" t="s">
        <v>2519</v>
      </c>
    </row>
    <row r="111" spans="1:99" x14ac:dyDescent="0.2">
      <c r="M111" s="2" t="s">
        <v>72</v>
      </c>
      <c r="O111" s="2" t="s">
        <v>86</v>
      </c>
      <c r="Q111" s="2" t="s">
        <v>102</v>
      </c>
      <c r="S111" s="2" t="s">
        <v>120</v>
      </c>
      <c r="U111" s="2" t="s">
        <v>140</v>
      </c>
      <c r="W111" s="2" t="s">
        <v>162</v>
      </c>
      <c r="Y111" s="2" t="s">
        <v>186</v>
      </c>
      <c r="AA111" s="2" t="s">
        <v>212</v>
      </c>
      <c r="AC111" s="2" t="s">
        <v>240</v>
      </c>
      <c r="AE111" s="2" t="s">
        <v>270</v>
      </c>
      <c r="AG111" s="2" t="s">
        <v>302</v>
      </c>
      <c r="AI111" s="2" t="s">
        <v>336</v>
      </c>
      <c r="AK111" s="2" t="s">
        <v>372</v>
      </c>
      <c r="AM111" s="2" t="s">
        <v>410</v>
      </c>
      <c r="AO111" s="2" t="s">
        <v>450</v>
      </c>
      <c r="AQ111" s="2" t="s">
        <v>492</v>
      </c>
      <c r="AS111" s="2" t="s">
        <v>536</v>
      </c>
      <c r="AU111" s="2" t="s">
        <v>582</v>
      </c>
      <c r="AW111" s="2" t="s">
        <v>630</v>
      </c>
      <c r="AY111" s="2" t="s">
        <v>680</v>
      </c>
      <c r="BA111" s="2" t="s">
        <v>732</v>
      </c>
      <c r="BC111" s="2" t="s">
        <v>786</v>
      </c>
      <c r="BE111" s="2" t="s">
        <v>842</v>
      </c>
      <c r="BG111" s="2" t="s">
        <v>920</v>
      </c>
      <c r="BI111" s="2" t="s">
        <v>981</v>
      </c>
      <c r="BK111" s="2" t="s">
        <v>1044</v>
      </c>
      <c r="BM111" s="2" t="s">
        <v>1109</v>
      </c>
      <c r="BO111" s="2" t="s">
        <v>1176</v>
      </c>
      <c r="BQ111" s="2" t="s">
        <v>1245</v>
      </c>
      <c r="BS111" s="2" t="s">
        <v>1316</v>
      </c>
      <c r="BU111" s="2" t="s">
        <v>1389</v>
      </c>
      <c r="BW111" s="2" t="s">
        <v>1464</v>
      </c>
      <c r="BY111" s="2" t="s">
        <v>1541</v>
      </c>
      <c r="CA111" s="2" t="s">
        <v>1620</v>
      </c>
      <c r="CC111" s="2" t="s">
        <v>1701</v>
      </c>
      <c r="CE111" s="2" t="s">
        <v>1784</v>
      </c>
      <c r="CG111" s="2" t="s">
        <v>1869</v>
      </c>
      <c r="CI111" s="2" t="s">
        <v>1956</v>
      </c>
      <c r="CK111" s="2" t="s">
        <v>2045</v>
      </c>
      <c r="CM111" s="2" t="s">
        <v>2136</v>
      </c>
      <c r="CO111" s="2" t="s">
        <v>2229</v>
      </c>
      <c r="CQ111" s="2" t="s">
        <v>2324</v>
      </c>
      <c r="CS111" s="2" t="s">
        <v>2421</v>
      </c>
      <c r="CU111" s="2" t="s">
        <v>2520</v>
      </c>
    </row>
    <row r="113" spans="15:99" x14ac:dyDescent="0.2">
      <c r="O113" s="2" t="s">
        <v>87</v>
      </c>
      <c r="Q113" s="2" t="s">
        <v>103</v>
      </c>
      <c r="S113" s="2" t="s">
        <v>121</v>
      </c>
      <c r="U113" s="2" t="s">
        <v>141</v>
      </c>
      <c r="W113" s="2" t="s">
        <v>163</v>
      </c>
      <c r="Y113" s="2" t="s">
        <v>187</v>
      </c>
      <c r="AA113" s="2" t="s">
        <v>213</v>
      </c>
      <c r="AC113" s="2" t="s">
        <v>241</v>
      </c>
      <c r="AE113" s="2" t="s">
        <v>271</v>
      </c>
      <c r="AG113" s="2" t="s">
        <v>303</v>
      </c>
      <c r="AI113" s="2" t="s">
        <v>337</v>
      </c>
      <c r="AK113" s="2" t="s">
        <v>373</v>
      </c>
      <c r="AM113" s="2" t="s">
        <v>411</v>
      </c>
      <c r="AO113" s="2" t="s">
        <v>451</v>
      </c>
      <c r="AQ113" s="2" t="s">
        <v>493</v>
      </c>
      <c r="AS113" s="2" t="s">
        <v>537</v>
      </c>
      <c r="AU113" s="2" t="s">
        <v>583</v>
      </c>
      <c r="AW113" s="2" t="s">
        <v>631</v>
      </c>
      <c r="AY113" s="2" t="s">
        <v>681</v>
      </c>
      <c r="BA113" s="2" t="s">
        <v>733</v>
      </c>
      <c r="BC113" s="2" t="s">
        <v>787</v>
      </c>
      <c r="BE113" s="2" t="s">
        <v>843</v>
      </c>
      <c r="BG113" s="2" t="s">
        <v>921</v>
      </c>
      <c r="BI113" s="2" t="s">
        <v>982</v>
      </c>
      <c r="BK113" s="2" t="s">
        <v>1045</v>
      </c>
      <c r="BM113" s="2" t="s">
        <v>1110</v>
      </c>
      <c r="BO113" s="2" t="s">
        <v>1177</v>
      </c>
      <c r="BQ113" s="2" t="s">
        <v>1246</v>
      </c>
      <c r="BS113" s="2" t="s">
        <v>1317</v>
      </c>
      <c r="BU113" s="2" t="s">
        <v>1390</v>
      </c>
      <c r="BW113" s="2" t="s">
        <v>1465</v>
      </c>
      <c r="BY113" s="2" t="s">
        <v>1542</v>
      </c>
      <c r="CA113" s="2" t="s">
        <v>1621</v>
      </c>
      <c r="CC113" s="2" t="s">
        <v>1702</v>
      </c>
      <c r="CE113" s="2" t="s">
        <v>1785</v>
      </c>
      <c r="CG113" s="2" t="s">
        <v>1870</v>
      </c>
      <c r="CI113" s="2" t="s">
        <v>1957</v>
      </c>
      <c r="CK113" s="2" t="s">
        <v>2046</v>
      </c>
      <c r="CM113" s="2" t="s">
        <v>2137</v>
      </c>
      <c r="CO113" s="2" t="s">
        <v>2230</v>
      </c>
      <c r="CQ113" s="2" t="s">
        <v>2325</v>
      </c>
      <c r="CS113" s="2" t="s">
        <v>2422</v>
      </c>
      <c r="CU113" s="2" t="s">
        <v>2521</v>
      </c>
    </row>
    <row r="115" spans="15:99" x14ac:dyDescent="0.2">
      <c r="Q115" s="2" t="s">
        <v>104</v>
      </c>
      <c r="S115" s="2" t="s">
        <v>122</v>
      </c>
      <c r="U115" s="2" t="s">
        <v>142</v>
      </c>
      <c r="W115" s="2" t="s">
        <v>164</v>
      </c>
      <c r="Y115" s="2" t="s">
        <v>188</v>
      </c>
      <c r="AA115" s="2" t="s">
        <v>214</v>
      </c>
      <c r="AC115" s="2" t="s">
        <v>242</v>
      </c>
      <c r="AE115" s="2" t="s">
        <v>272</v>
      </c>
      <c r="AG115" s="2" t="s">
        <v>304</v>
      </c>
      <c r="AI115" s="2" t="s">
        <v>338</v>
      </c>
      <c r="AK115" s="2" t="s">
        <v>374</v>
      </c>
      <c r="AM115" s="2" t="s">
        <v>412</v>
      </c>
      <c r="AO115" s="2" t="s">
        <v>452</v>
      </c>
      <c r="AQ115" s="2" t="s">
        <v>494</v>
      </c>
      <c r="AS115" s="2" t="s">
        <v>538</v>
      </c>
      <c r="AU115" s="2" t="s">
        <v>584</v>
      </c>
      <c r="AW115" s="2" t="s">
        <v>632</v>
      </c>
      <c r="AY115" s="2" t="s">
        <v>682</v>
      </c>
      <c r="BA115" s="2" t="s">
        <v>734</v>
      </c>
      <c r="BC115" s="2" t="s">
        <v>788</v>
      </c>
      <c r="BE115" s="2" t="s">
        <v>844</v>
      </c>
      <c r="BG115" s="2" t="s">
        <v>922</v>
      </c>
      <c r="BI115" s="2" t="s">
        <v>983</v>
      </c>
      <c r="BK115" s="2" t="s">
        <v>1046</v>
      </c>
      <c r="BM115" s="2" t="s">
        <v>1111</v>
      </c>
      <c r="BO115" s="2" t="s">
        <v>1178</v>
      </c>
      <c r="BQ115" s="2" t="s">
        <v>1247</v>
      </c>
      <c r="BS115" s="2" t="s">
        <v>1318</v>
      </c>
      <c r="BU115" s="2" t="s">
        <v>1391</v>
      </c>
      <c r="BW115" s="2" t="s">
        <v>1466</v>
      </c>
      <c r="BY115" s="2" t="s">
        <v>1543</v>
      </c>
      <c r="CA115" s="2" t="s">
        <v>1622</v>
      </c>
      <c r="CC115" s="2" t="s">
        <v>1703</v>
      </c>
      <c r="CE115" s="2" t="s">
        <v>1786</v>
      </c>
      <c r="CG115" s="2" t="s">
        <v>1871</v>
      </c>
      <c r="CI115" s="2" t="s">
        <v>1958</v>
      </c>
      <c r="CK115" s="2" t="s">
        <v>2047</v>
      </c>
      <c r="CM115" s="2" t="s">
        <v>2138</v>
      </c>
      <c r="CO115" s="2" t="s">
        <v>2231</v>
      </c>
      <c r="CQ115" s="2" t="s">
        <v>2326</v>
      </c>
      <c r="CS115" s="2" t="s">
        <v>2423</v>
      </c>
      <c r="CU115" s="2" t="s">
        <v>2522</v>
      </c>
    </row>
    <row r="117" spans="15:99" x14ac:dyDescent="0.2">
      <c r="S117" s="2" t="s">
        <v>123</v>
      </c>
      <c r="U117" s="2" t="s">
        <v>143</v>
      </c>
      <c r="W117" s="2" t="s">
        <v>165</v>
      </c>
      <c r="Y117" s="2" t="s">
        <v>189</v>
      </c>
      <c r="AA117" s="2" t="s">
        <v>215</v>
      </c>
      <c r="AC117" s="2" t="s">
        <v>243</v>
      </c>
      <c r="AE117" s="2" t="s">
        <v>273</v>
      </c>
      <c r="AG117" s="2" t="s">
        <v>305</v>
      </c>
      <c r="AI117" s="2" t="s">
        <v>339</v>
      </c>
      <c r="AK117" s="2" t="s">
        <v>375</v>
      </c>
      <c r="AM117" s="2" t="s">
        <v>413</v>
      </c>
      <c r="AO117" s="2" t="s">
        <v>453</v>
      </c>
      <c r="AQ117" s="2" t="s">
        <v>495</v>
      </c>
      <c r="AS117" s="2" t="s">
        <v>539</v>
      </c>
      <c r="AU117" s="2" t="s">
        <v>585</v>
      </c>
      <c r="AW117" s="2" t="s">
        <v>633</v>
      </c>
      <c r="AY117" s="2" t="s">
        <v>683</v>
      </c>
      <c r="BA117" s="2" t="s">
        <v>735</v>
      </c>
      <c r="BC117" s="2" t="s">
        <v>789</v>
      </c>
      <c r="BE117" s="2" t="s">
        <v>845</v>
      </c>
      <c r="BG117" s="2" t="s">
        <v>923</v>
      </c>
      <c r="BI117" s="2" t="s">
        <v>984</v>
      </c>
      <c r="BK117" s="2" t="s">
        <v>1047</v>
      </c>
      <c r="BM117" s="2" t="s">
        <v>1112</v>
      </c>
      <c r="BO117" s="2" t="s">
        <v>1179</v>
      </c>
      <c r="BQ117" s="2" t="s">
        <v>1248</v>
      </c>
      <c r="BS117" s="2" t="s">
        <v>1319</v>
      </c>
      <c r="BU117" s="2" t="s">
        <v>1392</v>
      </c>
      <c r="BW117" s="2" t="s">
        <v>1467</v>
      </c>
      <c r="BY117" s="2" t="s">
        <v>1544</v>
      </c>
      <c r="CA117" s="2" t="s">
        <v>1623</v>
      </c>
      <c r="CC117" s="2" t="s">
        <v>1704</v>
      </c>
      <c r="CE117" s="2" t="s">
        <v>1787</v>
      </c>
      <c r="CG117" s="2" t="s">
        <v>1872</v>
      </c>
      <c r="CI117" s="2" t="s">
        <v>1959</v>
      </c>
      <c r="CK117" s="2" t="s">
        <v>2048</v>
      </c>
      <c r="CM117" s="2" t="s">
        <v>2139</v>
      </c>
      <c r="CO117" s="2" t="s">
        <v>2232</v>
      </c>
      <c r="CQ117" s="2" t="s">
        <v>2327</v>
      </c>
      <c r="CS117" s="2" t="s">
        <v>2424</v>
      </c>
      <c r="CU117" s="2" t="s">
        <v>2523</v>
      </c>
    </row>
    <row r="119" spans="15:99" x14ac:dyDescent="0.2">
      <c r="U119" s="2" t="s">
        <v>144</v>
      </c>
      <c r="W119" s="2" t="s">
        <v>166</v>
      </c>
      <c r="Y119" s="2" t="s">
        <v>190</v>
      </c>
      <c r="AA119" s="2" t="s">
        <v>216</v>
      </c>
      <c r="AC119" s="2" t="s">
        <v>244</v>
      </c>
      <c r="AE119" s="2" t="s">
        <v>274</v>
      </c>
      <c r="AG119" s="2" t="s">
        <v>306</v>
      </c>
      <c r="AI119" s="2" t="s">
        <v>340</v>
      </c>
      <c r="AK119" s="2" t="s">
        <v>376</v>
      </c>
      <c r="AM119" s="2" t="s">
        <v>414</v>
      </c>
      <c r="AO119" s="2" t="s">
        <v>454</v>
      </c>
      <c r="AQ119" s="2" t="s">
        <v>496</v>
      </c>
      <c r="AS119" s="2" t="s">
        <v>540</v>
      </c>
      <c r="AU119" s="2" t="s">
        <v>586</v>
      </c>
      <c r="AW119" s="2" t="s">
        <v>634</v>
      </c>
      <c r="AY119" s="2" t="s">
        <v>684</v>
      </c>
      <c r="BA119" s="2" t="s">
        <v>736</v>
      </c>
      <c r="BC119" s="2" t="s">
        <v>790</v>
      </c>
      <c r="BE119" s="2" t="s">
        <v>846</v>
      </c>
      <c r="BG119" s="2" t="s">
        <v>924</v>
      </c>
      <c r="BI119" s="2" t="s">
        <v>985</v>
      </c>
      <c r="BK119" s="2" t="s">
        <v>1048</v>
      </c>
      <c r="BM119" s="2" t="s">
        <v>1113</v>
      </c>
      <c r="BO119" s="2" t="s">
        <v>1180</v>
      </c>
      <c r="BQ119" s="2" t="s">
        <v>1249</v>
      </c>
      <c r="BS119" s="2" t="s">
        <v>1320</v>
      </c>
      <c r="BU119" s="2" t="s">
        <v>1393</v>
      </c>
      <c r="BW119" s="2" t="s">
        <v>1468</v>
      </c>
      <c r="BY119" s="2" t="s">
        <v>1545</v>
      </c>
      <c r="CA119" s="2" t="s">
        <v>1624</v>
      </c>
      <c r="CC119" s="2" t="s">
        <v>1705</v>
      </c>
      <c r="CE119" s="2" t="s">
        <v>1788</v>
      </c>
      <c r="CG119" s="2" t="s">
        <v>1873</v>
      </c>
      <c r="CI119" s="2" t="s">
        <v>1960</v>
      </c>
      <c r="CK119" s="2" t="s">
        <v>2049</v>
      </c>
      <c r="CM119" s="2" t="s">
        <v>2140</v>
      </c>
      <c r="CO119" s="2" t="s">
        <v>2233</v>
      </c>
      <c r="CQ119" s="2" t="s">
        <v>2328</v>
      </c>
      <c r="CS119" s="2" t="s">
        <v>2425</v>
      </c>
      <c r="CU119" s="2" t="s">
        <v>2524</v>
      </c>
    </row>
    <row r="121" spans="15:99" x14ac:dyDescent="0.2">
      <c r="W121" s="2" t="s">
        <v>167</v>
      </c>
      <c r="Y121" s="2" t="s">
        <v>191</v>
      </c>
      <c r="AA121" s="2" t="s">
        <v>217</v>
      </c>
      <c r="AC121" s="2" t="s">
        <v>245</v>
      </c>
      <c r="AE121" s="2" t="s">
        <v>275</v>
      </c>
      <c r="AG121" s="2" t="s">
        <v>307</v>
      </c>
      <c r="AI121" s="2" t="s">
        <v>341</v>
      </c>
      <c r="AK121" s="2" t="s">
        <v>377</v>
      </c>
      <c r="AM121" s="2" t="s">
        <v>415</v>
      </c>
      <c r="AO121" s="2" t="s">
        <v>455</v>
      </c>
      <c r="AQ121" s="2" t="s">
        <v>497</v>
      </c>
      <c r="AS121" s="2" t="s">
        <v>541</v>
      </c>
      <c r="AU121" s="2" t="s">
        <v>587</v>
      </c>
      <c r="AW121" s="2" t="s">
        <v>635</v>
      </c>
      <c r="AY121" s="2" t="s">
        <v>685</v>
      </c>
      <c r="BA121" s="2" t="s">
        <v>737</v>
      </c>
      <c r="BC121" s="2" t="s">
        <v>791</v>
      </c>
      <c r="BE121" s="2" t="s">
        <v>847</v>
      </c>
      <c r="BG121" s="2" t="s">
        <v>925</v>
      </c>
      <c r="BI121" s="2" t="s">
        <v>986</v>
      </c>
      <c r="BK121" s="2" t="s">
        <v>1049</v>
      </c>
      <c r="BM121" s="2" t="s">
        <v>1114</v>
      </c>
      <c r="BO121" s="2" t="s">
        <v>1181</v>
      </c>
      <c r="BQ121" s="2" t="s">
        <v>1250</v>
      </c>
      <c r="BS121" s="2" t="s">
        <v>1321</v>
      </c>
      <c r="BU121" s="2" t="s">
        <v>1394</v>
      </c>
      <c r="BW121" s="2" t="s">
        <v>1469</v>
      </c>
      <c r="BY121" s="2" t="s">
        <v>1546</v>
      </c>
      <c r="CA121" s="2" t="s">
        <v>1625</v>
      </c>
      <c r="CC121" s="2" t="s">
        <v>1706</v>
      </c>
      <c r="CE121" s="2" t="s">
        <v>1789</v>
      </c>
      <c r="CG121" s="2" t="s">
        <v>1874</v>
      </c>
      <c r="CI121" s="2" t="s">
        <v>1961</v>
      </c>
      <c r="CK121" s="2" t="s">
        <v>2050</v>
      </c>
      <c r="CM121" s="2" t="s">
        <v>2141</v>
      </c>
      <c r="CO121" s="2" t="s">
        <v>2234</v>
      </c>
      <c r="CQ121" s="2" t="s">
        <v>2329</v>
      </c>
      <c r="CS121" s="2" t="s">
        <v>2426</v>
      </c>
      <c r="CU121" s="2" t="s">
        <v>2525</v>
      </c>
    </row>
    <row r="123" spans="15:99" x14ac:dyDescent="0.2">
      <c r="Y123" s="2" t="s">
        <v>192</v>
      </c>
      <c r="AA123" s="2" t="s">
        <v>218</v>
      </c>
      <c r="AC123" s="2" t="s">
        <v>246</v>
      </c>
      <c r="AE123" s="2" t="s">
        <v>276</v>
      </c>
      <c r="AG123" s="2" t="s">
        <v>308</v>
      </c>
      <c r="AI123" s="2" t="s">
        <v>342</v>
      </c>
      <c r="AK123" s="2" t="s">
        <v>378</v>
      </c>
      <c r="AM123" s="2" t="s">
        <v>416</v>
      </c>
      <c r="AO123" s="2" t="s">
        <v>456</v>
      </c>
      <c r="AQ123" s="2" t="s">
        <v>498</v>
      </c>
      <c r="AS123" s="2" t="s">
        <v>542</v>
      </c>
      <c r="AU123" s="2" t="s">
        <v>588</v>
      </c>
      <c r="AW123" s="2" t="s">
        <v>636</v>
      </c>
      <c r="AY123" s="2" t="s">
        <v>686</v>
      </c>
      <c r="BA123" s="2" t="s">
        <v>738</v>
      </c>
      <c r="BC123" s="2" t="s">
        <v>792</v>
      </c>
      <c r="BE123" s="2" t="s">
        <v>848</v>
      </c>
      <c r="BG123" s="2" t="s">
        <v>926</v>
      </c>
      <c r="BI123" s="2" t="s">
        <v>987</v>
      </c>
      <c r="BK123" s="2" t="s">
        <v>1050</v>
      </c>
      <c r="BM123" s="2" t="s">
        <v>1115</v>
      </c>
      <c r="BO123" s="2" t="s">
        <v>1182</v>
      </c>
      <c r="BQ123" s="2" t="s">
        <v>1251</v>
      </c>
      <c r="BS123" s="2" t="s">
        <v>1322</v>
      </c>
      <c r="BU123" s="2" t="s">
        <v>1395</v>
      </c>
      <c r="BW123" s="2" t="s">
        <v>1470</v>
      </c>
      <c r="BY123" s="2" t="s">
        <v>1547</v>
      </c>
      <c r="CA123" s="2" t="s">
        <v>1626</v>
      </c>
      <c r="CC123" s="2" t="s">
        <v>1707</v>
      </c>
      <c r="CE123" s="2" t="s">
        <v>1790</v>
      </c>
      <c r="CG123" s="2" t="s">
        <v>1875</v>
      </c>
      <c r="CI123" s="2" t="s">
        <v>1962</v>
      </c>
      <c r="CK123" s="2" t="s">
        <v>2051</v>
      </c>
      <c r="CM123" s="2" t="s">
        <v>2142</v>
      </c>
      <c r="CO123" s="2" t="s">
        <v>2235</v>
      </c>
      <c r="CQ123" s="2" t="s">
        <v>2330</v>
      </c>
      <c r="CS123" s="2" t="s">
        <v>2427</v>
      </c>
      <c r="CU123" s="2" t="s">
        <v>2526</v>
      </c>
    </row>
    <row r="125" spans="15:99" x14ac:dyDescent="0.2">
      <c r="AA125" s="2" t="s">
        <v>219</v>
      </c>
      <c r="AC125" s="2" t="s">
        <v>247</v>
      </c>
      <c r="AE125" s="2" t="s">
        <v>277</v>
      </c>
      <c r="AG125" s="2" t="s">
        <v>309</v>
      </c>
      <c r="AI125" s="2" t="s">
        <v>343</v>
      </c>
      <c r="AK125" s="2" t="s">
        <v>379</v>
      </c>
      <c r="AM125" s="2" t="s">
        <v>417</v>
      </c>
      <c r="AO125" s="2" t="s">
        <v>457</v>
      </c>
      <c r="AQ125" s="2" t="s">
        <v>499</v>
      </c>
      <c r="AS125" s="2" t="s">
        <v>543</v>
      </c>
      <c r="AU125" s="2" t="s">
        <v>589</v>
      </c>
      <c r="AW125" s="2" t="s">
        <v>637</v>
      </c>
      <c r="AY125" s="2" t="s">
        <v>687</v>
      </c>
      <c r="BA125" s="2" t="s">
        <v>739</v>
      </c>
      <c r="BC125" s="2" t="s">
        <v>793</v>
      </c>
      <c r="BE125" s="2" t="s">
        <v>849</v>
      </c>
      <c r="BG125" s="2" t="s">
        <v>927</v>
      </c>
      <c r="BI125" s="2" t="s">
        <v>988</v>
      </c>
      <c r="BK125" s="2" t="s">
        <v>1051</v>
      </c>
      <c r="BM125" s="2" t="s">
        <v>1116</v>
      </c>
      <c r="BO125" s="2" t="s">
        <v>1183</v>
      </c>
      <c r="BQ125" s="2" t="s">
        <v>1252</v>
      </c>
      <c r="BS125" s="2" t="s">
        <v>1323</v>
      </c>
      <c r="BU125" s="2" t="s">
        <v>1396</v>
      </c>
      <c r="BW125" s="2" t="s">
        <v>1471</v>
      </c>
      <c r="BY125" s="2" t="s">
        <v>1548</v>
      </c>
      <c r="CA125" s="2" t="s">
        <v>1627</v>
      </c>
      <c r="CC125" s="2" t="s">
        <v>1708</v>
      </c>
      <c r="CE125" s="2" t="s">
        <v>1791</v>
      </c>
      <c r="CG125" s="2" t="s">
        <v>1876</v>
      </c>
      <c r="CI125" s="2" t="s">
        <v>1963</v>
      </c>
      <c r="CK125" s="2" t="s">
        <v>2052</v>
      </c>
      <c r="CM125" s="2" t="s">
        <v>2143</v>
      </c>
      <c r="CO125" s="2" t="s">
        <v>2236</v>
      </c>
      <c r="CQ125" s="2" t="s">
        <v>2331</v>
      </c>
      <c r="CS125" s="2" t="s">
        <v>2428</v>
      </c>
      <c r="CU125" s="2" t="s">
        <v>2527</v>
      </c>
    </row>
    <row r="127" spans="15:99" x14ac:dyDescent="0.2">
      <c r="AC127" s="2" t="s">
        <v>248</v>
      </c>
      <c r="AE127" s="2" t="s">
        <v>278</v>
      </c>
      <c r="AG127" s="2" t="s">
        <v>310</v>
      </c>
      <c r="AI127" s="2" t="s">
        <v>344</v>
      </c>
      <c r="AK127" s="2" t="s">
        <v>380</v>
      </c>
      <c r="AM127" s="2" t="s">
        <v>418</v>
      </c>
      <c r="AO127" s="2" t="s">
        <v>458</v>
      </c>
      <c r="AQ127" s="2" t="s">
        <v>500</v>
      </c>
      <c r="AS127" s="2" t="s">
        <v>544</v>
      </c>
      <c r="AU127" s="2" t="s">
        <v>590</v>
      </c>
      <c r="AW127" s="2" t="s">
        <v>638</v>
      </c>
      <c r="AY127" s="2" t="s">
        <v>688</v>
      </c>
      <c r="BA127" s="2" t="s">
        <v>740</v>
      </c>
      <c r="BC127" s="2" t="s">
        <v>794</v>
      </c>
      <c r="BE127" s="2" t="s">
        <v>850</v>
      </c>
      <c r="BG127" s="2" t="s">
        <v>928</v>
      </c>
      <c r="BI127" s="2" t="s">
        <v>989</v>
      </c>
      <c r="BK127" s="2" t="s">
        <v>1052</v>
      </c>
      <c r="BM127" s="2" t="s">
        <v>1117</v>
      </c>
      <c r="BO127" s="2" t="s">
        <v>1184</v>
      </c>
      <c r="BQ127" s="2" t="s">
        <v>1253</v>
      </c>
      <c r="BS127" s="2" t="s">
        <v>1324</v>
      </c>
      <c r="BU127" s="2" t="s">
        <v>1397</v>
      </c>
      <c r="BW127" s="2" t="s">
        <v>1472</v>
      </c>
      <c r="BY127" s="2" t="s">
        <v>1549</v>
      </c>
      <c r="CA127" s="2" t="s">
        <v>1628</v>
      </c>
      <c r="CC127" s="2" t="s">
        <v>1709</v>
      </c>
      <c r="CE127" s="2" t="s">
        <v>1792</v>
      </c>
      <c r="CG127" s="2" t="s">
        <v>1877</v>
      </c>
      <c r="CI127" s="2" t="s">
        <v>1964</v>
      </c>
      <c r="CK127" s="2" t="s">
        <v>2053</v>
      </c>
      <c r="CM127" s="2" t="s">
        <v>2144</v>
      </c>
      <c r="CO127" s="2" t="s">
        <v>2237</v>
      </c>
      <c r="CQ127" s="2" t="s">
        <v>2332</v>
      </c>
      <c r="CS127" s="2" t="s">
        <v>2429</v>
      </c>
      <c r="CU127" s="2" t="s">
        <v>2528</v>
      </c>
    </row>
    <row r="129" spans="31:99" x14ac:dyDescent="0.2">
      <c r="AE129" s="2" t="s">
        <v>279</v>
      </c>
      <c r="AG129" s="2" t="s">
        <v>311</v>
      </c>
      <c r="AI129" s="2" t="s">
        <v>345</v>
      </c>
      <c r="AK129" s="2" t="s">
        <v>381</v>
      </c>
      <c r="AM129" s="2" t="s">
        <v>419</v>
      </c>
      <c r="AO129" s="2" t="s">
        <v>459</v>
      </c>
      <c r="AQ129" s="2" t="s">
        <v>501</v>
      </c>
      <c r="AS129" s="2" t="s">
        <v>545</v>
      </c>
      <c r="AU129" s="2" t="s">
        <v>591</v>
      </c>
      <c r="AW129" s="2" t="s">
        <v>639</v>
      </c>
      <c r="AY129" s="2" t="s">
        <v>689</v>
      </c>
      <c r="BA129" s="2" t="s">
        <v>741</v>
      </c>
      <c r="BC129" s="2" t="s">
        <v>795</v>
      </c>
      <c r="BE129" s="2" t="s">
        <v>851</v>
      </c>
      <c r="BG129" s="2" t="s">
        <v>929</v>
      </c>
      <c r="BI129" s="2" t="s">
        <v>990</v>
      </c>
      <c r="BK129" s="2" t="s">
        <v>1053</v>
      </c>
      <c r="BM129" s="2" t="s">
        <v>1118</v>
      </c>
      <c r="BO129" s="2" t="s">
        <v>1185</v>
      </c>
      <c r="BQ129" s="2" t="s">
        <v>1254</v>
      </c>
      <c r="BS129" s="2" t="s">
        <v>1325</v>
      </c>
      <c r="BU129" s="2" t="s">
        <v>1398</v>
      </c>
      <c r="BW129" s="2" t="s">
        <v>1473</v>
      </c>
      <c r="BY129" s="2" t="s">
        <v>1550</v>
      </c>
      <c r="CA129" s="2" t="s">
        <v>1629</v>
      </c>
      <c r="CC129" s="2" t="s">
        <v>1710</v>
      </c>
      <c r="CE129" s="2" t="s">
        <v>1793</v>
      </c>
      <c r="CG129" s="2" t="s">
        <v>1878</v>
      </c>
      <c r="CI129" s="2" t="s">
        <v>1965</v>
      </c>
      <c r="CK129" s="2" t="s">
        <v>2054</v>
      </c>
      <c r="CM129" s="2" t="s">
        <v>2145</v>
      </c>
      <c r="CO129" s="2" t="s">
        <v>2238</v>
      </c>
      <c r="CQ129" s="2" t="s">
        <v>2333</v>
      </c>
      <c r="CS129" s="2" t="s">
        <v>2430</v>
      </c>
      <c r="CU129" s="2" t="s">
        <v>2529</v>
      </c>
    </row>
    <row r="131" spans="31:99" x14ac:dyDescent="0.2">
      <c r="AG131" s="2" t="s">
        <v>312</v>
      </c>
      <c r="AI131" s="2" t="s">
        <v>346</v>
      </c>
      <c r="AK131" s="2" t="s">
        <v>382</v>
      </c>
      <c r="AM131" s="2" t="s">
        <v>420</v>
      </c>
      <c r="AO131" s="2" t="s">
        <v>460</v>
      </c>
      <c r="AQ131" s="2" t="s">
        <v>502</v>
      </c>
      <c r="AS131" s="2" t="s">
        <v>546</v>
      </c>
      <c r="AU131" s="2" t="s">
        <v>592</v>
      </c>
      <c r="AW131" s="2" t="s">
        <v>640</v>
      </c>
      <c r="AY131" s="2" t="s">
        <v>690</v>
      </c>
      <c r="BA131" s="2" t="s">
        <v>742</v>
      </c>
      <c r="BC131" s="2" t="s">
        <v>796</v>
      </c>
      <c r="BE131" s="2" t="s">
        <v>852</v>
      </c>
      <c r="BG131" s="2" t="s">
        <v>930</v>
      </c>
      <c r="BI131" s="2" t="s">
        <v>991</v>
      </c>
      <c r="BK131" s="2" t="s">
        <v>1054</v>
      </c>
      <c r="BM131" s="2" t="s">
        <v>1119</v>
      </c>
      <c r="BO131" s="2" t="s">
        <v>1186</v>
      </c>
      <c r="BQ131" s="2" t="s">
        <v>1255</v>
      </c>
      <c r="BS131" s="2" t="s">
        <v>1326</v>
      </c>
      <c r="BU131" s="2" t="s">
        <v>1399</v>
      </c>
      <c r="BW131" s="2" t="s">
        <v>1474</v>
      </c>
      <c r="BY131" s="2" t="s">
        <v>1551</v>
      </c>
      <c r="CA131" s="2" t="s">
        <v>1630</v>
      </c>
      <c r="CC131" s="2" t="s">
        <v>1711</v>
      </c>
      <c r="CE131" s="2" t="s">
        <v>1794</v>
      </c>
      <c r="CG131" s="2" t="s">
        <v>1879</v>
      </c>
      <c r="CI131" s="2" t="s">
        <v>1966</v>
      </c>
      <c r="CK131" s="2" t="s">
        <v>2055</v>
      </c>
      <c r="CM131" s="2" t="s">
        <v>2146</v>
      </c>
      <c r="CO131" s="2" t="s">
        <v>2239</v>
      </c>
      <c r="CQ131" s="2" t="s">
        <v>2334</v>
      </c>
      <c r="CS131" s="2" t="s">
        <v>2431</v>
      </c>
      <c r="CU131" s="2" t="s">
        <v>2530</v>
      </c>
    </row>
    <row r="133" spans="31:99" x14ac:dyDescent="0.2">
      <c r="AI133" s="2" t="s">
        <v>347</v>
      </c>
      <c r="AK133" s="2" t="s">
        <v>383</v>
      </c>
      <c r="AM133" s="2" t="s">
        <v>421</v>
      </c>
      <c r="AO133" s="2" t="s">
        <v>461</v>
      </c>
      <c r="AQ133" s="2" t="s">
        <v>503</v>
      </c>
      <c r="AS133" s="2" t="s">
        <v>547</v>
      </c>
      <c r="AU133" s="2" t="s">
        <v>593</v>
      </c>
      <c r="AW133" s="2" t="s">
        <v>641</v>
      </c>
      <c r="AY133" s="2" t="s">
        <v>691</v>
      </c>
      <c r="BA133" s="2" t="s">
        <v>743</v>
      </c>
      <c r="BC133" s="2" t="s">
        <v>797</v>
      </c>
      <c r="BE133" s="2" t="s">
        <v>853</v>
      </c>
      <c r="BG133" s="2" t="s">
        <v>931</v>
      </c>
      <c r="BI133" s="2" t="s">
        <v>992</v>
      </c>
      <c r="BK133" s="2" t="s">
        <v>1055</v>
      </c>
      <c r="BM133" s="2" t="s">
        <v>1120</v>
      </c>
      <c r="BO133" s="2" t="s">
        <v>1187</v>
      </c>
      <c r="BQ133" s="2" t="s">
        <v>1256</v>
      </c>
      <c r="BS133" s="2" t="s">
        <v>1327</v>
      </c>
      <c r="BU133" s="2" t="s">
        <v>1400</v>
      </c>
      <c r="BW133" s="2" t="s">
        <v>1475</v>
      </c>
      <c r="BY133" s="2" t="s">
        <v>1552</v>
      </c>
      <c r="CA133" s="2" t="s">
        <v>1631</v>
      </c>
      <c r="CC133" s="2" t="s">
        <v>1712</v>
      </c>
      <c r="CE133" s="2" t="s">
        <v>1795</v>
      </c>
      <c r="CG133" s="2" t="s">
        <v>1880</v>
      </c>
      <c r="CI133" s="2" t="s">
        <v>1967</v>
      </c>
      <c r="CK133" s="2" t="s">
        <v>2056</v>
      </c>
      <c r="CM133" s="2" t="s">
        <v>2147</v>
      </c>
      <c r="CO133" s="2" t="s">
        <v>2240</v>
      </c>
      <c r="CQ133" s="2" t="s">
        <v>2335</v>
      </c>
      <c r="CS133" s="2" t="s">
        <v>2432</v>
      </c>
      <c r="CU133" s="2" t="s">
        <v>2531</v>
      </c>
    </row>
    <row r="135" spans="31:99" x14ac:dyDescent="0.2">
      <c r="AK135" s="2" t="s">
        <v>384</v>
      </c>
      <c r="AM135" s="2" t="s">
        <v>422</v>
      </c>
      <c r="AO135" s="2" t="s">
        <v>462</v>
      </c>
      <c r="AQ135" s="2" t="s">
        <v>504</v>
      </c>
      <c r="AS135" s="2" t="s">
        <v>548</v>
      </c>
      <c r="AU135" s="2" t="s">
        <v>594</v>
      </c>
      <c r="AW135" s="2" t="s">
        <v>642</v>
      </c>
      <c r="AY135" s="2" t="s">
        <v>692</v>
      </c>
      <c r="BA135" s="2" t="s">
        <v>744</v>
      </c>
      <c r="BC135" s="2" t="s">
        <v>798</v>
      </c>
      <c r="BE135" s="2" t="s">
        <v>854</v>
      </c>
      <c r="BG135" s="2" t="s">
        <v>932</v>
      </c>
      <c r="BI135" s="2" t="s">
        <v>993</v>
      </c>
      <c r="BK135" s="2" t="s">
        <v>1056</v>
      </c>
      <c r="BM135" s="2" t="s">
        <v>1121</v>
      </c>
      <c r="BO135" s="2" t="s">
        <v>1188</v>
      </c>
      <c r="BQ135" s="2" t="s">
        <v>1257</v>
      </c>
      <c r="BS135" s="2" t="s">
        <v>1328</v>
      </c>
      <c r="BU135" s="2" t="s">
        <v>1401</v>
      </c>
      <c r="BW135" s="2" t="s">
        <v>1476</v>
      </c>
      <c r="BY135" s="2" t="s">
        <v>1553</v>
      </c>
      <c r="CA135" s="2" t="s">
        <v>1632</v>
      </c>
      <c r="CC135" s="2" t="s">
        <v>1713</v>
      </c>
      <c r="CE135" s="2" t="s">
        <v>1796</v>
      </c>
      <c r="CG135" s="2" t="s">
        <v>1881</v>
      </c>
      <c r="CI135" s="2" t="s">
        <v>1968</v>
      </c>
      <c r="CK135" s="2" t="s">
        <v>2057</v>
      </c>
      <c r="CM135" s="2" t="s">
        <v>2148</v>
      </c>
      <c r="CO135" s="2" t="s">
        <v>2241</v>
      </c>
      <c r="CQ135" s="2" t="s">
        <v>2336</v>
      </c>
      <c r="CS135" s="2" t="s">
        <v>2433</v>
      </c>
      <c r="CU135" s="2" t="s">
        <v>2532</v>
      </c>
    </row>
    <row r="137" spans="31:99" x14ac:dyDescent="0.2">
      <c r="AM137" s="2" t="s">
        <v>423</v>
      </c>
      <c r="AO137" s="2" t="s">
        <v>463</v>
      </c>
      <c r="AQ137" s="2" t="s">
        <v>505</v>
      </c>
      <c r="AS137" s="2" t="s">
        <v>549</v>
      </c>
      <c r="AU137" s="2" t="s">
        <v>595</v>
      </c>
      <c r="AW137" s="2" t="s">
        <v>643</v>
      </c>
      <c r="AY137" s="2" t="s">
        <v>693</v>
      </c>
      <c r="BA137" s="2" t="s">
        <v>745</v>
      </c>
      <c r="BC137" s="2" t="s">
        <v>799</v>
      </c>
      <c r="BE137" s="2" t="s">
        <v>855</v>
      </c>
      <c r="BG137" s="2" t="s">
        <v>933</v>
      </c>
      <c r="BI137" s="2" t="s">
        <v>994</v>
      </c>
      <c r="BK137" s="2" t="s">
        <v>1057</v>
      </c>
      <c r="BM137" s="2" t="s">
        <v>1122</v>
      </c>
      <c r="BO137" s="2" t="s">
        <v>1189</v>
      </c>
      <c r="BQ137" s="2" t="s">
        <v>1258</v>
      </c>
      <c r="BS137" s="2" t="s">
        <v>1329</v>
      </c>
      <c r="BU137" s="2" t="s">
        <v>1402</v>
      </c>
      <c r="BW137" s="2" t="s">
        <v>1477</v>
      </c>
      <c r="BY137" s="2" t="s">
        <v>1554</v>
      </c>
      <c r="CA137" s="2" t="s">
        <v>1633</v>
      </c>
      <c r="CC137" s="2" t="s">
        <v>1714</v>
      </c>
      <c r="CE137" s="2" t="s">
        <v>1797</v>
      </c>
      <c r="CG137" s="2" t="s">
        <v>1882</v>
      </c>
      <c r="CI137" s="2" t="s">
        <v>1969</v>
      </c>
      <c r="CK137" s="2" t="s">
        <v>2058</v>
      </c>
      <c r="CM137" s="2" t="s">
        <v>2149</v>
      </c>
      <c r="CO137" s="2" t="s">
        <v>2242</v>
      </c>
      <c r="CQ137" s="2" t="s">
        <v>2337</v>
      </c>
      <c r="CS137" s="2" t="s">
        <v>2434</v>
      </c>
      <c r="CU137" s="2" t="s">
        <v>2533</v>
      </c>
    </row>
    <row r="139" spans="31:99" x14ac:dyDescent="0.2">
      <c r="AO139" s="2" t="s">
        <v>464</v>
      </c>
      <c r="AQ139" s="2" t="s">
        <v>506</v>
      </c>
      <c r="AS139" s="2" t="s">
        <v>550</v>
      </c>
      <c r="AU139" s="2" t="s">
        <v>596</v>
      </c>
      <c r="AW139" s="2" t="s">
        <v>644</v>
      </c>
      <c r="AY139" s="2" t="s">
        <v>694</v>
      </c>
      <c r="BA139" s="2" t="s">
        <v>746</v>
      </c>
      <c r="BC139" s="2" t="s">
        <v>800</v>
      </c>
      <c r="BE139" s="2" t="s">
        <v>856</v>
      </c>
      <c r="BG139" s="2" t="s">
        <v>934</v>
      </c>
      <c r="BI139" s="2" t="s">
        <v>995</v>
      </c>
      <c r="BK139" s="2" t="s">
        <v>1058</v>
      </c>
      <c r="BM139" s="2" t="s">
        <v>1123</v>
      </c>
      <c r="BO139" s="2" t="s">
        <v>1190</v>
      </c>
      <c r="BQ139" s="2" t="s">
        <v>1259</v>
      </c>
      <c r="BS139" s="2" t="s">
        <v>1330</v>
      </c>
      <c r="BU139" s="2" t="s">
        <v>1403</v>
      </c>
      <c r="BW139" s="2" t="s">
        <v>1478</v>
      </c>
      <c r="BY139" s="2" t="s">
        <v>1555</v>
      </c>
      <c r="CA139" s="2" t="s">
        <v>1634</v>
      </c>
      <c r="CC139" s="2" t="s">
        <v>1715</v>
      </c>
      <c r="CE139" s="2" t="s">
        <v>1798</v>
      </c>
      <c r="CG139" s="2" t="s">
        <v>1883</v>
      </c>
      <c r="CI139" s="2" t="s">
        <v>1970</v>
      </c>
      <c r="CK139" s="2" t="s">
        <v>2059</v>
      </c>
      <c r="CM139" s="2" t="s">
        <v>2150</v>
      </c>
      <c r="CO139" s="2" t="s">
        <v>2243</v>
      </c>
      <c r="CQ139" s="2" t="s">
        <v>2338</v>
      </c>
      <c r="CS139" s="2" t="s">
        <v>2435</v>
      </c>
      <c r="CU139" s="2" t="s">
        <v>2534</v>
      </c>
    </row>
    <row r="141" spans="31:99" x14ac:dyDescent="0.2">
      <c r="AQ141" s="2" t="s">
        <v>507</v>
      </c>
      <c r="AS141" s="2" t="s">
        <v>551</v>
      </c>
      <c r="AU141" s="2" t="s">
        <v>597</v>
      </c>
      <c r="AW141" s="2" t="s">
        <v>645</v>
      </c>
      <c r="AY141" s="2" t="s">
        <v>695</v>
      </c>
      <c r="BA141" s="2" t="s">
        <v>747</v>
      </c>
      <c r="BC141" s="2" t="s">
        <v>801</v>
      </c>
      <c r="BE141" s="2" t="s">
        <v>857</v>
      </c>
      <c r="BG141" s="2" t="s">
        <v>935</v>
      </c>
      <c r="BI141" s="2" t="s">
        <v>996</v>
      </c>
      <c r="BK141" s="2" t="s">
        <v>1059</v>
      </c>
      <c r="BM141" s="2" t="s">
        <v>1124</v>
      </c>
      <c r="BO141" s="2" t="s">
        <v>1191</v>
      </c>
      <c r="BQ141" s="2" t="s">
        <v>1260</v>
      </c>
      <c r="BS141" s="2" t="s">
        <v>1331</v>
      </c>
      <c r="BU141" s="2" t="s">
        <v>1404</v>
      </c>
      <c r="BW141" s="2" t="s">
        <v>1479</v>
      </c>
      <c r="BY141" s="2" t="s">
        <v>1556</v>
      </c>
      <c r="CA141" s="2" t="s">
        <v>1635</v>
      </c>
      <c r="CC141" s="2" t="s">
        <v>1716</v>
      </c>
      <c r="CE141" s="2" t="s">
        <v>1799</v>
      </c>
      <c r="CG141" s="2" t="s">
        <v>1884</v>
      </c>
      <c r="CI141" s="2" t="s">
        <v>1971</v>
      </c>
      <c r="CK141" s="2" t="s">
        <v>2060</v>
      </c>
      <c r="CM141" s="2" t="s">
        <v>2151</v>
      </c>
      <c r="CO141" s="2" t="s">
        <v>2244</v>
      </c>
      <c r="CQ141" s="2" t="s">
        <v>2339</v>
      </c>
      <c r="CS141" s="2" t="s">
        <v>2436</v>
      </c>
      <c r="CU141" s="2" t="s">
        <v>2535</v>
      </c>
    </row>
    <row r="143" spans="31:99" x14ac:dyDescent="0.2">
      <c r="AS143" s="2" t="s">
        <v>552</v>
      </c>
      <c r="AU143" s="2" t="s">
        <v>598</v>
      </c>
      <c r="AW143" s="2" t="s">
        <v>646</v>
      </c>
      <c r="AY143" s="2" t="s">
        <v>696</v>
      </c>
      <c r="BA143" s="2" t="s">
        <v>748</v>
      </c>
      <c r="BC143" s="2" t="s">
        <v>802</v>
      </c>
      <c r="BE143" s="2" t="s">
        <v>858</v>
      </c>
      <c r="BG143" s="2" t="s">
        <v>936</v>
      </c>
      <c r="BI143" s="2" t="s">
        <v>997</v>
      </c>
      <c r="BK143" s="2" t="s">
        <v>1060</v>
      </c>
      <c r="BM143" s="2" t="s">
        <v>1125</v>
      </c>
      <c r="BO143" s="2" t="s">
        <v>1192</v>
      </c>
      <c r="BQ143" s="2" t="s">
        <v>1261</v>
      </c>
      <c r="BS143" s="2" t="s">
        <v>1332</v>
      </c>
      <c r="BU143" s="2" t="s">
        <v>1405</v>
      </c>
      <c r="BW143" s="2" t="s">
        <v>1480</v>
      </c>
      <c r="BY143" s="2" t="s">
        <v>1557</v>
      </c>
      <c r="CA143" s="2" t="s">
        <v>1636</v>
      </c>
      <c r="CC143" s="2" t="s">
        <v>1717</v>
      </c>
      <c r="CE143" s="2" t="s">
        <v>1800</v>
      </c>
      <c r="CG143" s="2" t="s">
        <v>1885</v>
      </c>
      <c r="CI143" s="2" t="s">
        <v>1972</v>
      </c>
      <c r="CK143" s="2" t="s">
        <v>2061</v>
      </c>
      <c r="CM143" s="2" t="s">
        <v>2152</v>
      </c>
      <c r="CO143" s="2" t="s">
        <v>2245</v>
      </c>
      <c r="CQ143" s="2" t="s">
        <v>2340</v>
      </c>
      <c r="CS143" s="2" t="s">
        <v>2437</v>
      </c>
      <c r="CU143" s="2" t="s">
        <v>2536</v>
      </c>
    </row>
    <row r="145" spans="47:99" x14ac:dyDescent="0.2">
      <c r="AU145" s="2" t="s">
        <v>599</v>
      </c>
      <c r="AW145" s="2" t="s">
        <v>647</v>
      </c>
      <c r="AY145" s="2" t="s">
        <v>697</v>
      </c>
      <c r="BA145" s="2" t="s">
        <v>749</v>
      </c>
      <c r="BC145" s="2" t="s">
        <v>803</v>
      </c>
      <c r="BE145" s="2" t="s">
        <v>859</v>
      </c>
      <c r="BG145" s="2" t="s">
        <v>937</v>
      </c>
      <c r="BI145" s="2" t="s">
        <v>998</v>
      </c>
      <c r="BK145" s="2" t="s">
        <v>1061</v>
      </c>
      <c r="BM145" s="2" t="s">
        <v>1126</v>
      </c>
      <c r="BO145" s="2" t="s">
        <v>1193</v>
      </c>
      <c r="BQ145" s="2" t="s">
        <v>1262</v>
      </c>
      <c r="BS145" s="2" t="s">
        <v>1333</v>
      </c>
      <c r="BU145" s="2" t="s">
        <v>1406</v>
      </c>
      <c r="BW145" s="2" t="s">
        <v>1481</v>
      </c>
      <c r="BY145" s="2" t="s">
        <v>1558</v>
      </c>
      <c r="CA145" s="2" t="s">
        <v>1637</v>
      </c>
      <c r="CC145" s="2" t="s">
        <v>1718</v>
      </c>
      <c r="CE145" s="2" t="s">
        <v>1801</v>
      </c>
      <c r="CG145" s="2" t="s">
        <v>1886</v>
      </c>
      <c r="CI145" s="2" t="s">
        <v>1973</v>
      </c>
      <c r="CK145" s="2" t="s">
        <v>2062</v>
      </c>
      <c r="CM145" s="2" t="s">
        <v>2153</v>
      </c>
      <c r="CO145" s="2" t="s">
        <v>2246</v>
      </c>
      <c r="CQ145" s="2" t="s">
        <v>2341</v>
      </c>
      <c r="CS145" s="2" t="s">
        <v>2438</v>
      </c>
      <c r="CU145" s="2" t="s">
        <v>2537</v>
      </c>
    </row>
    <row r="147" spans="47:99" x14ac:dyDescent="0.2">
      <c r="AW147" s="2" t="s">
        <v>648</v>
      </c>
      <c r="AY147" s="2" t="s">
        <v>698</v>
      </c>
      <c r="BA147" s="2" t="s">
        <v>750</v>
      </c>
      <c r="BC147" s="2" t="s">
        <v>804</v>
      </c>
      <c r="BE147" s="2" t="s">
        <v>860</v>
      </c>
      <c r="BG147" s="2" t="s">
        <v>938</v>
      </c>
      <c r="BI147" s="2" t="s">
        <v>999</v>
      </c>
      <c r="BK147" s="2" t="s">
        <v>1062</v>
      </c>
      <c r="BM147" s="2" t="s">
        <v>1127</v>
      </c>
      <c r="BO147" s="2" t="s">
        <v>1194</v>
      </c>
      <c r="BQ147" s="2" t="s">
        <v>1263</v>
      </c>
      <c r="BS147" s="2" t="s">
        <v>1334</v>
      </c>
      <c r="BU147" s="2" t="s">
        <v>1407</v>
      </c>
      <c r="BW147" s="2" t="s">
        <v>1482</v>
      </c>
      <c r="BY147" s="2" t="s">
        <v>1559</v>
      </c>
      <c r="CA147" s="2" t="s">
        <v>1638</v>
      </c>
      <c r="CC147" s="2" t="s">
        <v>1719</v>
      </c>
      <c r="CE147" s="2" t="s">
        <v>1802</v>
      </c>
      <c r="CG147" s="2" t="s">
        <v>1887</v>
      </c>
      <c r="CI147" s="2" t="s">
        <v>1974</v>
      </c>
      <c r="CK147" s="2" t="s">
        <v>2063</v>
      </c>
      <c r="CM147" s="2" t="s">
        <v>2154</v>
      </c>
      <c r="CO147" s="2" t="s">
        <v>2247</v>
      </c>
      <c r="CQ147" s="2" t="s">
        <v>2342</v>
      </c>
      <c r="CS147" s="2" t="s">
        <v>2439</v>
      </c>
      <c r="CU147" s="2" t="s">
        <v>2538</v>
      </c>
    </row>
    <row r="149" spans="47:99" x14ac:dyDescent="0.2">
      <c r="AY149" s="2" t="s">
        <v>699</v>
      </c>
      <c r="BA149" s="2" t="s">
        <v>751</v>
      </c>
      <c r="BC149" s="2" t="s">
        <v>805</v>
      </c>
      <c r="BE149" s="2" t="s">
        <v>861</v>
      </c>
      <c r="BG149" s="2" t="s">
        <v>939</v>
      </c>
      <c r="BI149" s="2" t="s">
        <v>1000</v>
      </c>
      <c r="BK149" s="2" t="s">
        <v>1063</v>
      </c>
      <c r="BM149" s="2" t="s">
        <v>1128</v>
      </c>
      <c r="BO149" s="2" t="s">
        <v>1195</v>
      </c>
      <c r="BQ149" s="2" t="s">
        <v>1264</v>
      </c>
      <c r="BS149" s="2" t="s">
        <v>1335</v>
      </c>
      <c r="BU149" s="2" t="s">
        <v>1408</v>
      </c>
      <c r="BW149" s="2" t="s">
        <v>1483</v>
      </c>
      <c r="BY149" s="2" t="s">
        <v>1560</v>
      </c>
      <c r="CA149" s="2" t="s">
        <v>1639</v>
      </c>
      <c r="CC149" s="2" t="s">
        <v>1720</v>
      </c>
      <c r="CE149" s="2" t="s">
        <v>1803</v>
      </c>
      <c r="CG149" s="2" t="s">
        <v>1888</v>
      </c>
      <c r="CI149" s="2" t="s">
        <v>1975</v>
      </c>
      <c r="CK149" s="2" t="s">
        <v>2064</v>
      </c>
      <c r="CM149" s="2" t="s">
        <v>2155</v>
      </c>
      <c r="CO149" s="2" t="s">
        <v>2248</v>
      </c>
      <c r="CQ149" s="2" t="s">
        <v>2343</v>
      </c>
      <c r="CS149" s="2" t="s">
        <v>2440</v>
      </c>
      <c r="CU149" s="2" t="s">
        <v>2539</v>
      </c>
    </row>
    <row r="151" spans="47:99" x14ac:dyDescent="0.2">
      <c r="BA151" s="2" t="s">
        <v>752</v>
      </c>
      <c r="BC151" s="2" t="s">
        <v>806</v>
      </c>
      <c r="BE151" s="2" t="s">
        <v>862</v>
      </c>
      <c r="BG151" s="2" t="s">
        <v>940</v>
      </c>
      <c r="BI151" s="2" t="s">
        <v>1001</v>
      </c>
      <c r="BK151" s="2" t="s">
        <v>1064</v>
      </c>
      <c r="BM151" s="2" t="s">
        <v>1129</v>
      </c>
      <c r="BO151" s="2" t="s">
        <v>1196</v>
      </c>
      <c r="BQ151" s="2" t="s">
        <v>1265</v>
      </c>
      <c r="BS151" s="2" t="s">
        <v>1336</v>
      </c>
      <c r="BU151" s="2" t="s">
        <v>1409</v>
      </c>
      <c r="BW151" s="2" t="s">
        <v>1484</v>
      </c>
      <c r="BY151" s="2" t="s">
        <v>1561</v>
      </c>
      <c r="CA151" s="2" t="s">
        <v>1640</v>
      </c>
      <c r="CC151" s="2" t="s">
        <v>1721</v>
      </c>
      <c r="CE151" s="2" t="s">
        <v>1804</v>
      </c>
      <c r="CG151" s="2" t="s">
        <v>1889</v>
      </c>
      <c r="CI151" s="2" t="s">
        <v>1976</v>
      </c>
      <c r="CK151" s="2" t="s">
        <v>2065</v>
      </c>
      <c r="CM151" s="2" t="s">
        <v>2156</v>
      </c>
      <c r="CO151" s="2" t="s">
        <v>2249</v>
      </c>
      <c r="CQ151" s="2" t="s">
        <v>2344</v>
      </c>
      <c r="CS151" s="2" t="s">
        <v>2441</v>
      </c>
      <c r="CU151" s="2" t="s">
        <v>2540</v>
      </c>
    </row>
    <row r="153" spans="47:99" x14ac:dyDescent="0.2">
      <c r="BC153" s="2" t="s">
        <v>807</v>
      </c>
      <c r="BE153" s="2" t="s">
        <v>863</v>
      </c>
      <c r="BG153" s="2" t="s">
        <v>941</v>
      </c>
      <c r="BI153" s="2" t="s">
        <v>1002</v>
      </c>
      <c r="BK153" s="2" t="s">
        <v>1065</v>
      </c>
      <c r="BM153" s="2" t="s">
        <v>1130</v>
      </c>
      <c r="BO153" s="2" t="s">
        <v>1197</v>
      </c>
      <c r="BQ153" s="2" t="s">
        <v>1266</v>
      </c>
      <c r="BS153" s="2" t="s">
        <v>1337</v>
      </c>
      <c r="BU153" s="2" t="s">
        <v>1410</v>
      </c>
      <c r="BW153" s="2" t="s">
        <v>1485</v>
      </c>
      <c r="BY153" s="2" t="s">
        <v>1562</v>
      </c>
      <c r="CA153" s="2" t="s">
        <v>1641</v>
      </c>
      <c r="CC153" s="2" t="s">
        <v>1722</v>
      </c>
      <c r="CE153" s="2" t="s">
        <v>1805</v>
      </c>
      <c r="CG153" s="2" t="s">
        <v>1890</v>
      </c>
      <c r="CI153" s="2" t="s">
        <v>1977</v>
      </c>
      <c r="CK153" s="2" t="s">
        <v>2066</v>
      </c>
      <c r="CM153" s="2" t="s">
        <v>2157</v>
      </c>
      <c r="CO153" s="2" t="s">
        <v>2250</v>
      </c>
      <c r="CQ153" s="2" t="s">
        <v>2345</v>
      </c>
      <c r="CS153" s="2" t="s">
        <v>2442</v>
      </c>
      <c r="CU153" s="2" t="s">
        <v>2541</v>
      </c>
    </row>
    <row r="155" spans="47:99" x14ac:dyDescent="0.2">
      <c r="BE155" s="2" t="s">
        <v>864</v>
      </c>
      <c r="BG155" s="2" t="s">
        <v>942</v>
      </c>
      <c r="BI155" s="2" t="s">
        <v>1003</v>
      </c>
      <c r="BK155" s="2" t="s">
        <v>1066</v>
      </c>
      <c r="BM155" s="2" t="s">
        <v>1131</v>
      </c>
      <c r="BO155" s="2" t="s">
        <v>1198</v>
      </c>
      <c r="BQ155" s="2" t="s">
        <v>1267</v>
      </c>
      <c r="BS155" s="2" t="s">
        <v>1338</v>
      </c>
      <c r="BU155" s="2" t="s">
        <v>1411</v>
      </c>
      <c r="BW155" s="2" t="s">
        <v>1486</v>
      </c>
      <c r="BY155" s="2" t="s">
        <v>1563</v>
      </c>
      <c r="CA155" s="2" t="s">
        <v>1642</v>
      </c>
      <c r="CC155" s="2" t="s">
        <v>1723</v>
      </c>
      <c r="CE155" s="2" t="s">
        <v>1806</v>
      </c>
      <c r="CG155" s="2" t="s">
        <v>1891</v>
      </c>
      <c r="CI155" s="2" t="s">
        <v>1978</v>
      </c>
      <c r="CK155" s="2" t="s">
        <v>2067</v>
      </c>
      <c r="CM155" s="2" t="s">
        <v>2158</v>
      </c>
      <c r="CO155" s="2" t="s">
        <v>2251</v>
      </c>
      <c r="CQ155" s="2" t="s">
        <v>2346</v>
      </c>
      <c r="CS155" s="2" t="s">
        <v>2443</v>
      </c>
      <c r="CU155" s="2" t="s">
        <v>2542</v>
      </c>
    </row>
    <row r="157" spans="47:99" x14ac:dyDescent="0.2">
      <c r="BG157" s="2" t="s">
        <v>943</v>
      </c>
      <c r="BI157" s="2" t="s">
        <v>1004</v>
      </c>
      <c r="BK157" s="2" t="s">
        <v>1067</v>
      </c>
      <c r="BM157" s="2" t="s">
        <v>1132</v>
      </c>
      <c r="BO157" s="2" t="s">
        <v>1199</v>
      </c>
      <c r="BQ157" s="2" t="s">
        <v>1268</v>
      </c>
      <c r="BS157" s="2" t="s">
        <v>1339</v>
      </c>
      <c r="BU157" s="2" t="s">
        <v>1412</v>
      </c>
      <c r="BW157" s="2" t="s">
        <v>1487</v>
      </c>
      <c r="BY157" s="2" t="s">
        <v>1564</v>
      </c>
      <c r="CA157" s="2" t="s">
        <v>1643</v>
      </c>
      <c r="CC157" s="2" t="s">
        <v>1724</v>
      </c>
      <c r="CE157" s="2" t="s">
        <v>1807</v>
      </c>
      <c r="CG157" s="2" t="s">
        <v>1892</v>
      </c>
      <c r="CI157" s="2" t="s">
        <v>1979</v>
      </c>
      <c r="CK157" s="2" t="s">
        <v>2068</v>
      </c>
      <c r="CM157" s="2" t="s">
        <v>2159</v>
      </c>
      <c r="CO157" s="2" t="s">
        <v>2252</v>
      </c>
      <c r="CQ157" s="2" t="s">
        <v>2347</v>
      </c>
      <c r="CS157" s="2" t="s">
        <v>2444</v>
      </c>
      <c r="CU157" s="2" t="s">
        <v>2543</v>
      </c>
    </row>
    <row r="159" spans="47:99" x14ac:dyDescent="0.2">
      <c r="BG159" s="2" t="s">
        <v>944</v>
      </c>
      <c r="BI159" s="2" t="s">
        <v>1005</v>
      </c>
      <c r="BK159" s="2" t="s">
        <v>1068</v>
      </c>
      <c r="BM159" s="2" t="s">
        <v>1133</v>
      </c>
      <c r="BO159" s="2" t="s">
        <v>1200</v>
      </c>
      <c r="BQ159" s="2" t="s">
        <v>1269</v>
      </c>
      <c r="BS159" s="2" t="s">
        <v>1340</v>
      </c>
      <c r="BU159" s="2" t="s">
        <v>1413</v>
      </c>
      <c r="BW159" s="2" t="s">
        <v>1488</v>
      </c>
      <c r="BY159" s="2" t="s">
        <v>1565</v>
      </c>
      <c r="CA159" s="2" t="s">
        <v>1644</v>
      </c>
      <c r="CC159" s="2" t="s">
        <v>1725</v>
      </c>
      <c r="CE159" s="2" t="s">
        <v>1808</v>
      </c>
      <c r="CG159" s="2" t="s">
        <v>1893</v>
      </c>
      <c r="CI159" s="2" t="s">
        <v>1980</v>
      </c>
      <c r="CK159" s="2" t="s">
        <v>2069</v>
      </c>
      <c r="CM159" s="2" t="s">
        <v>2160</v>
      </c>
      <c r="CO159" s="2" t="s">
        <v>2253</v>
      </c>
      <c r="CQ159" s="2" t="s">
        <v>2348</v>
      </c>
      <c r="CS159" s="2" t="s">
        <v>2445</v>
      </c>
      <c r="CU159" s="2" t="s">
        <v>2544</v>
      </c>
    </row>
    <row r="161" spans="59:99" x14ac:dyDescent="0.2">
      <c r="BG161" s="2" t="s">
        <v>945</v>
      </c>
      <c r="BI161" s="2" t="s">
        <v>1006</v>
      </c>
      <c r="BK161" s="2" t="s">
        <v>1069</v>
      </c>
      <c r="BM161" s="2" t="s">
        <v>1134</v>
      </c>
      <c r="BO161" s="2" t="s">
        <v>1201</v>
      </c>
      <c r="BQ161" s="2" t="s">
        <v>1270</v>
      </c>
      <c r="BS161" s="2" t="s">
        <v>1341</v>
      </c>
      <c r="BU161" s="2" t="s">
        <v>1414</v>
      </c>
      <c r="BW161" s="2" t="s">
        <v>1489</v>
      </c>
      <c r="BY161" s="2" t="s">
        <v>1566</v>
      </c>
      <c r="CA161" s="2" t="s">
        <v>1645</v>
      </c>
      <c r="CC161" s="2" t="s">
        <v>1726</v>
      </c>
      <c r="CE161" s="2" t="s">
        <v>1809</v>
      </c>
      <c r="CG161" s="2" t="s">
        <v>1894</v>
      </c>
      <c r="CI161" s="2" t="s">
        <v>1981</v>
      </c>
      <c r="CK161" s="2" t="s">
        <v>2070</v>
      </c>
      <c r="CM161" s="2" t="s">
        <v>2161</v>
      </c>
      <c r="CO161" s="2" t="s">
        <v>2254</v>
      </c>
      <c r="CQ161" s="2" t="s">
        <v>2349</v>
      </c>
      <c r="CS161" s="2" t="s">
        <v>2446</v>
      </c>
      <c r="CU161" s="2" t="s">
        <v>2545</v>
      </c>
    </row>
    <row r="163" spans="59:99" x14ac:dyDescent="0.2">
      <c r="BI163" s="2" t="s">
        <v>1007</v>
      </c>
      <c r="BK163" s="2" t="s">
        <v>1070</v>
      </c>
      <c r="BM163" s="2" t="s">
        <v>1135</v>
      </c>
      <c r="BO163" s="2" t="s">
        <v>1202</v>
      </c>
      <c r="BQ163" s="2" t="s">
        <v>1271</v>
      </c>
      <c r="BS163" s="2" t="s">
        <v>1342</v>
      </c>
      <c r="BU163" s="2" t="s">
        <v>1415</v>
      </c>
      <c r="BW163" s="2" t="s">
        <v>1490</v>
      </c>
      <c r="BY163" s="2" t="s">
        <v>1567</v>
      </c>
      <c r="CA163" s="2" t="s">
        <v>1646</v>
      </c>
      <c r="CC163" s="2" t="s">
        <v>1727</v>
      </c>
      <c r="CE163" s="2" t="s">
        <v>1810</v>
      </c>
      <c r="CG163" s="2" t="s">
        <v>1895</v>
      </c>
      <c r="CI163" s="2" t="s">
        <v>1982</v>
      </c>
      <c r="CK163" s="2" t="s">
        <v>2071</v>
      </c>
      <c r="CM163" s="2" t="s">
        <v>2162</v>
      </c>
      <c r="CO163" s="2" t="s">
        <v>2255</v>
      </c>
      <c r="CQ163" s="2" t="s">
        <v>2350</v>
      </c>
      <c r="CS163" s="2" t="s">
        <v>2447</v>
      </c>
      <c r="CU163" s="2" t="s">
        <v>2546</v>
      </c>
    </row>
    <row r="165" spans="59:99" x14ac:dyDescent="0.2">
      <c r="BK165" s="2" t="s">
        <v>1071</v>
      </c>
      <c r="BM165" s="2" t="s">
        <v>1136</v>
      </c>
      <c r="BO165" s="2" t="s">
        <v>1203</v>
      </c>
      <c r="BQ165" s="2" t="s">
        <v>1272</v>
      </c>
      <c r="BS165" s="2" t="s">
        <v>1343</v>
      </c>
      <c r="BU165" s="2" t="s">
        <v>1416</v>
      </c>
      <c r="BW165" s="2" t="s">
        <v>1491</v>
      </c>
      <c r="BY165" s="2" t="s">
        <v>1568</v>
      </c>
      <c r="CA165" s="2" t="s">
        <v>1647</v>
      </c>
      <c r="CC165" s="2" t="s">
        <v>1728</v>
      </c>
      <c r="CE165" s="2" t="s">
        <v>1811</v>
      </c>
      <c r="CG165" s="2" t="s">
        <v>1896</v>
      </c>
      <c r="CI165" s="2" t="s">
        <v>1983</v>
      </c>
      <c r="CK165" s="2" t="s">
        <v>2072</v>
      </c>
      <c r="CM165" s="2" t="s">
        <v>2163</v>
      </c>
      <c r="CO165" s="2" t="s">
        <v>2256</v>
      </c>
      <c r="CQ165" s="2" t="s">
        <v>2351</v>
      </c>
      <c r="CS165" s="2" t="s">
        <v>2448</v>
      </c>
      <c r="CU165" s="2" t="s">
        <v>2547</v>
      </c>
    </row>
    <row r="167" spans="59:99" x14ac:dyDescent="0.2">
      <c r="BM167" s="2" t="s">
        <v>1137</v>
      </c>
      <c r="BO167" s="2" t="s">
        <v>1204</v>
      </c>
      <c r="BQ167" s="2" t="s">
        <v>1273</v>
      </c>
      <c r="BS167" s="2" t="s">
        <v>1344</v>
      </c>
      <c r="BU167" s="2" t="s">
        <v>1417</v>
      </c>
      <c r="BW167" s="2" t="s">
        <v>1492</v>
      </c>
      <c r="BY167" s="2" t="s">
        <v>1569</v>
      </c>
      <c r="CA167" s="2" t="s">
        <v>1648</v>
      </c>
      <c r="CC167" s="2" t="s">
        <v>1729</v>
      </c>
      <c r="CE167" s="2" t="s">
        <v>1812</v>
      </c>
      <c r="CG167" s="2" t="s">
        <v>1897</v>
      </c>
      <c r="CI167" s="2" t="s">
        <v>1984</v>
      </c>
      <c r="CK167" s="2" t="s">
        <v>2073</v>
      </c>
      <c r="CM167" s="2" t="s">
        <v>2164</v>
      </c>
      <c r="CO167" s="2" t="s">
        <v>2257</v>
      </c>
      <c r="CQ167" s="2" t="s">
        <v>2352</v>
      </c>
      <c r="CS167" s="2" t="s">
        <v>2449</v>
      </c>
      <c r="CU167" s="2" t="s">
        <v>2548</v>
      </c>
    </row>
    <row r="169" spans="59:99" x14ac:dyDescent="0.2">
      <c r="BO169" s="2" t="s">
        <v>1205</v>
      </c>
      <c r="BQ169" s="2" t="s">
        <v>1274</v>
      </c>
      <c r="BS169" s="2" t="s">
        <v>1345</v>
      </c>
      <c r="BU169" s="2" t="s">
        <v>1418</v>
      </c>
      <c r="BW169" s="2" t="s">
        <v>1493</v>
      </c>
      <c r="BY169" s="2" t="s">
        <v>1570</v>
      </c>
      <c r="CA169" s="2" t="s">
        <v>1649</v>
      </c>
      <c r="CC169" s="2" t="s">
        <v>1730</v>
      </c>
      <c r="CE169" s="2" t="s">
        <v>1813</v>
      </c>
      <c r="CG169" s="2" t="s">
        <v>1898</v>
      </c>
      <c r="CI169" s="2" t="s">
        <v>1985</v>
      </c>
      <c r="CK169" s="2" t="s">
        <v>2074</v>
      </c>
      <c r="CM169" s="2" t="s">
        <v>2165</v>
      </c>
      <c r="CO169" s="2" t="s">
        <v>2258</v>
      </c>
      <c r="CQ169" s="2" t="s">
        <v>2353</v>
      </c>
      <c r="CS169" s="2" t="s">
        <v>2450</v>
      </c>
      <c r="CU169" s="2" t="s">
        <v>2549</v>
      </c>
    </row>
    <row r="171" spans="59:99" x14ac:dyDescent="0.2">
      <c r="BQ171" s="2" t="s">
        <v>1275</v>
      </c>
      <c r="BS171" s="2" t="s">
        <v>1346</v>
      </c>
      <c r="BU171" s="2" t="s">
        <v>1419</v>
      </c>
      <c r="BW171" s="2" t="s">
        <v>1494</v>
      </c>
      <c r="BY171" s="2" t="s">
        <v>1571</v>
      </c>
      <c r="CA171" s="2" t="s">
        <v>1650</v>
      </c>
      <c r="CC171" s="2" t="s">
        <v>1731</v>
      </c>
      <c r="CE171" s="2" t="s">
        <v>1814</v>
      </c>
      <c r="CG171" s="2" t="s">
        <v>1899</v>
      </c>
      <c r="CI171" s="2" t="s">
        <v>1986</v>
      </c>
      <c r="CK171" s="2" t="s">
        <v>2075</v>
      </c>
      <c r="CM171" s="2" t="s">
        <v>2166</v>
      </c>
      <c r="CO171" s="2" t="s">
        <v>2259</v>
      </c>
      <c r="CQ171" s="2" t="s">
        <v>2354</v>
      </c>
      <c r="CS171" s="2" t="s">
        <v>2451</v>
      </c>
      <c r="CU171" s="2" t="s">
        <v>2550</v>
      </c>
    </row>
    <row r="173" spans="59:99" x14ac:dyDescent="0.2">
      <c r="BS173" s="2" t="s">
        <v>1347</v>
      </c>
      <c r="BU173" s="2" t="s">
        <v>1420</v>
      </c>
      <c r="BW173" s="2" t="s">
        <v>1495</v>
      </c>
      <c r="BY173" s="2" t="s">
        <v>1572</v>
      </c>
      <c r="CA173" s="2" t="s">
        <v>1651</v>
      </c>
      <c r="CC173" s="2" t="s">
        <v>1732</v>
      </c>
      <c r="CE173" s="2" t="s">
        <v>1815</v>
      </c>
      <c r="CG173" s="2" t="s">
        <v>1900</v>
      </c>
      <c r="CI173" s="2" t="s">
        <v>1987</v>
      </c>
      <c r="CK173" s="2" t="s">
        <v>2076</v>
      </c>
      <c r="CM173" s="2" t="s">
        <v>2167</v>
      </c>
      <c r="CO173" s="2" t="s">
        <v>2260</v>
      </c>
      <c r="CQ173" s="2" t="s">
        <v>2355</v>
      </c>
      <c r="CS173" s="2" t="s">
        <v>2452</v>
      </c>
      <c r="CU173" s="2" t="s">
        <v>2551</v>
      </c>
    </row>
    <row r="175" spans="59:99" x14ac:dyDescent="0.2">
      <c r="BU175" s="2" t="s">
        <v>1421</v>
      </c>
      <c r="BW175" s="2" t="s">
        <v>1496</v>
      </c>
      <c r="BY175" s="2" t="s">
        <v>1573</v>
      </c>
      <c r="CA175" s="2" t="s">
        <v>1652</v>
      </c>
      <c r="CC175" s="2" t="s">
        <v>1733</v>
      </c>
      <c r="CE175" s="2" t="s">
        <v>1816</v>
      </c>
      <c r="CG175" s="2" t="s">
        <v>1901</v>
      </c>
      <c r="CI175" s="2" t="s">
        <v>1988</v>
      </c>
      <c r="CK175" s="2" t="s">
        <v>2077</v>
      </c>
      <c r="CM175" s="2" t="s">
        <v>2168</v>
      </c>
      <c r="CO175" s="2" t="s">
        <v>2261</v>
      </c>
      <c r="CQ175" s="2" t="s">
        <v>2356</v>
      </c>
      <c r="CS175" s="2" t="s">
        <v>2453</v>
      </c>
      <c r="CU175" s="2" t="s">
        <v>2552</v>
      </c>
    </row>
    <row r="177" spans="75:99" x14ac:dyDescent="0.2">
      <c r="BW177" s="2" t="s">
        <v>1497</v>
      </c>
      <c r="BY177" s="2" t="s">
        <v>1574</v>
      </c>
      <c r="CA177" s="2" t="s">
        <v>1653</v>
      </c>
      <c r="CC177" s="2" t="s">
        <v>1734</v>
      </c>
      <c r="CE177" s="2" t="s">
        <v>1817</v>
      </c>
      <c r="CG177" s="2" t="s">
        <v>1902</v>
      </c>
      <c r="CI177" s="2" t="s">
        <v>1989</v>
      </c>
      <c r="CK177" s="2" t="s">
        <v>2078</v>
      </c>
      <c r="CM177" s="2" t="s">
        <v>2169</v>
      </c>
      <c r="CO177" s="2" t="s">
        <v>2262</v>
      </c>
      <c r="CQ177" s="2" t="s">
        <v>2357</v>
      </c>
      <c r="CS177" s="2" t="s">
        <v>2454</v>
      </c>
      <c r="CU177" s="2" t="s">
        <v>2553</v>
      </c>
    </row>
    <row r="179" spans="75:99" x14ac:dyDescent="0.2">
      <c r="BY179" s="2" t="s">
        <v>1575</v>
      </c>
      <c r="CA179" s="2" t="s">
        <v>1654</v>
      </c>
      <c r="CC179" s="2" t="s">
        <v>1735</v>
      </c>
      <c r="CE179" s="2" t="s">
        <v>1818</v>
      </c>
      <c r="CG179" s="2" t="s">
        <v>1903</v>
      </c>
      <c r="CI179" s="2" t="s">
        <v>1990</v>
      </c>
      <c r="CK179" s="2" t="s">
        <v>2079</v>
      </c>
      <c r="CM179" s="2" t="s">
        <v>2170</v>
      </c>
      <c r="CO179" s="2" t="s">
        <v>2263</v>
      </c>
      <c r="CQ179" s="2" t="s">
        <v>2358</v>
      </c>
      <c r="CS179" s="2" t="s">
        <v>2455</v>
      </c>
      <c r="CU179" s="2" t="s">
        <v>2554</v>
      </c>
    </row>
    <row r="181" spans="75:99" x14ac:dyDescent="0.2">
      <c r="CA181" s="2" t="s">
        <v>1655</v>
      </c>
      <c r="CC181" s="2" t="s">
        <v>1736</v>
      </c>
      <c r="CE181" s="2" t="s">
        <v>1819</v>
      </c>
      <c r="CG181" s="2" t="s">
        <v>1904</v>
      </c>
      <c r="CI181" s="2" t="s">
        <v>1991</v>
      </c>
      <c r="CK181" s="2" t="s">
        <v>2080</v>
      </c>
      <c r="CM181" s="2" t="s">
        <v>2171</v>
      </c>
      <c r="CO181" s="2" t="s">
        <v>2264</v>
      </c>
      <c r="CQ181" s="2" t="s">
        <v>2359</v>
      </c>
      <c r="CS181" s="2" t="s">
        <v>2456</v>
      </c>
      <c r="CU181" s="2" t="s">
        <v>2555</v>
      </c>
    </row>
    <row r="183" spans="75:99" x14ac:dyDescent="0.2">
      <c r="CC183" s="2" t="s">
        <v>1737</v>
      </c>
      <c r="CE183" s="2" t="s">
        <v>1820</v>
      </c>
      <c r="CG183" s="2" t="s">
        <v>1905</v>
      </c>
      <c r="CI183" s="2" t="s">
        <v>1992</v>
      </c>
      <c r="CK183" s="2" t="s">
        <v>2081</v>
      </c>
      <c r="CM183" s="2" t="s">
        <v>2172</v>
      </c>
      <c r="CO183" s="2" t="s">
        <v>2265</v>
      </c>
      <c r="CQ183" s="2" t="s">
        <v>2360</v>
      </c>
      <c r="CS183" s="2" t="s">
        <v>2457</v>
      </c>
      <c r="CU183" s="2" t="s">
        <v>2556</v>
      </c>
    </row>
    <row r="185" spans="75:99" x14ac:dyDescent="0.2">
      <c r="CE185" s="2" t="s">
        <v>1821</v>
      </c>
      <c r="CG185" s="2" t="s">
        <v>1906</v>
      </c>
      <c r="CI185" s="2" t="s">
        <v>1993</v>
      </c>
      <c r="CK185" s="2" t="s">
        <v>2082</v>
      </c>
      <c r="CM185" s="2" t="s">
        <v>2173</v>
      </c>
      <c r="CO185" s="2" t="s">
        <v>2266</v>
      </c>
      <c r="CQ185" s="2" t="s">
        <v>2361</v>
      </c>
      <c r="CS185" s="2" t="s">
        <v>2458</v>
      </c>
      <c r="CU185" s="2" t="s">
        <v>2557</v>
      </c>
    </row>
    <row r="187" spans="75:99" x14ac:dyDescent="0.2">
      <c r="CG187" s="2" t="s">
        <v>1907</v>
      </c>
      <c r="CI187" s="2" t="s">
        <v>1994</v>
      </c>
      <c r="CK187" s="2" t="s">
        <v>2083</v>
      </c>
      <c r="CM187" s="2" t="s">
        <v>2174</v>
      </c>
      <c r="CO187" s="2" t="s">
        <v>2267</v>
      </c>
      <c r="CQ187" s="2" t="s">
        <v>2362</v>
      </c>
      <c r="CS187" s="2" t="s">
        <v>2459</v>
      </c>
      <c r="CU187" s="2" t="s">
        <v>2558</v>
      </c>
    </row>
    <row r="189" spans="75:99" x14ac:dyDescent="0.2">
      <c r="CI189" s="2" t="s">
        <v>1995</v>
      </c>
      <c r="CK189" s="2" t="s">
        <v>2084</v>
      </c>
      <c r="CM189" s="2" t="s">
        <v>2175</v>
      </c>
      <c r="CO189" s="2" t="s">
        <v>2268</v>
      </c>
      <c r="CQ189" s="2" t="s">
        <v>2363</v>
      </c>
      <c r="CS189" s="2" t="s">
        <v>2460</v>
      </c>
      <c r="CU189" s="2" t="s">
        <v>2559</v>
      </c>
    </row>
    <row r="191" spans="75:99" x14ac:dyDescent="0.2">
      <c r="CK191" s="2" t="s">
        <v>2085</v>
      </c>
      <c r="CM191" s="2" t="s">
        <v>2176</v>
      </c>
      <c r="CO191" s="2" t="s">
        <v>2269</v>
      </c>
      <c r="CQ191" s="2" t="s">
        <v>2364</v>
      </c>
      <c r="CS191" s="2" t="s">
        <v>2461</v>
      </c>
      <c r="CU191" s="2" t="s">
        <v>2560</v>
      </c>
    </row>
    <row r="193" spans="91:99" x14ac:dyDescent="0.2">
      <c r="CM193" s="2" t="s">
        <v>2177</v>
      </c>
      <c r="CO193" s="2" t="s">
        <v>2270</v>
      </c>
      <c r="CQ193" s="2" t="s">
        <v>2365</v>
      </c>
      <c r="CS193" s="2" t="s">
        <v>2462</v>
      </c>
      <c r="CU193" s="2" t="s">
        <v>2561</v>
      </c>
    </row>
    <row r="195" spans="91:99" x14ac:dyDescent="0.2">
      <c r="CO195" s="2" t="s">
        <v>2271</v>
      </c>
      <c r="CQ195" s="2" t="s">
        <v>2366</v>
      </c>
      <c r="CS195" s="2" t="s">
        <v>2463</v>
      </c>
      <c r="CU195" s="2" t="s">
        <v>2562</v>
      </c>
    </row>
    <row r="197" spans="91:99" x14ac:dyDescent="0.2">
      <c r="CQ197" s="2" t="s">
        <v>2367</v>
      </c>
      <c r="CS197" s="2" t="s">
        <v>2464</v>
      </c>
      <c r="CU197" s="2" t="s">
        <v>2563</v>
      </c>
    </row>
    <row r="199" spans="91:99" x14ac:dyDescent="0.2">
      <c r="CS199" s="2" t="s">
        <v>2465</v>
      </c>
      <c r="CU199" s="2" t="s">
        <v>2564</v>
      </c>
    </row>
    <row r="201" spans="91:99" x14ac:dyDescent="0.2">
      <c r="CU201" s="2" t="s">
        <v>2565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/>
  <dimension ref="A1:S20"/>
  <sheetViews>
    <sheetView tabSelected="1" zoomScale="70" zoomScaleNormal="70" workbookViewId="0">
      <selection activeCell="X24" sqref="X24"/>
    </sheetView>
  </sheetViews>
  <sheetFormatPr baseColWidth="10" defaultRowHeight="15" x14ac:dyDescent="0.2"/>
  <cols>
    <col min="2" max="2" width="15.33203125" bestFit="1" customWidth="1"/>
    <col min="3" max="4" width="13" bestFit="1" customWidth="1"/>
    <col min="5" max="5" width="15.33203125" bestFit="1" customWidth="1"/>
    <col min="6" max="6" width="15.33203125" customWidth="1"/>
    <col min="8" max="8" width="13" bestFit="1" customWidth="1"/>
    <col min="10" max="10" width="9.6640625" bestFit="1" customWidth="1"/>
    <col min="11" max="11" width="5.6640625" bestFit="1" customWidth="1"/>
    <col min="12" max="12" width="10.6640625" bestFit="1" customWidth="1"/>
    <col min="13" max="13" width="8.33203125" bestFit="1" customWidth="1"/>
    <col min="14" max="14" width="8.33203125" customWidth="1"/>
    <col min="15" max="15" width="21.6640625" bestFit="1" customWidth="1"/>
    <col min="16" max="16" width="17.33203125" bestFit="1" customWidth="1"/>
    <col min="17" max="17" width="22.5" bestFit="1" customWidth="1"/>
    <col min="18" max="18" width="20.1640625" bestFit="1" customWidth="1"/>
  </cols>
  <sheetData>
    <row r="1" spans="1:19" x14ac:dyDescent="0.2">
      <c r="A1" t="s">
        <v>11</v>
      </c>
      <c r="B1" t="s">
        <v>2570</v>
      </c>
      <c r="C1" t="s">
        <v>23</v>
      </c>
      <c r="D1" t="s">
        <v>2572</v>
      </c>
      <c r="E1" t="s">
        <v>2571</v>
      </c>
      <c r="G1" t="s">
        <v>13</v>
      </c>
      <c r="H1" t="s">
        <v>22</v>
      </c>
      <c r="J1" t="s">
        <v>2</v>
      </c>
      <c r="K1" t="s">
        <v>13</v>
      </c>
      <c r="L1" t="s">
        <v>3</v>
      </c>
      <c r="M1" t="s">
        <v>4</v>
      </c>
      <c r="N1" t="s">
        <v>2573</v>
      </c>
      <c r="O1" t="s">
        <v>2574</v>
      </c>
      <c r="P1" t="s">
        <v>2575</v>
      </c>
      <c r="Q1" t="s">
        <v>2576</v>
      </c>
      <c r="R1" t="s">
        <v>2577</v>
      </c>
      <c r="S1" t="s">
        <v>2578</v>
      </c>
    </row>
    <row r="2" spans="1:19" x14ac:dyDescent="0.2">
      <c r="A2">
        <v>5</v>
      </c>
      <c r="B2">
        <v>1.184718984258704</v>
      </c>
      <c r="C2">
        <v>0.03</v>
      </c>
      <c r="D2">
        <v>1.184718984258704</v>
      </c>
      <c r="E2">
        <v>0.03</v>
      </c>
      <c r="G2">
        <v>50</v>
      </c>
      <c r="H2">
        <v>4.0872991670610759E-3</v>
      </c>
      <c r="J2">
        <f t="shared" ref="J2:K9" si="0">J3-10</f>
        <v>10</v>
      </c>
      <c r="K2">
        <f t="shared" si="0"/>
        <v>10</v>
      </c>
      <c r="L2">
        <f t="shared" ref="L2:L9" si="1">L3-0.01</f>
        <v>-7.0000000000000007E-2</v>
      </c>
      <c r="O2">
        <v>2.1222964151365139E-38</v>
      </c>
      <c r="P2">
        <v>90.16302366646832</v>
      </c>
      <c r="Q2">
        <v>4.8424727876982816</v>
      </c>
    </row>
    <row r="3" spans="1:19" x14ac:dyDescent="0.2">
      <c r="A3">
        <v>10</v>
      </c>
      <c r="B3">
        <v>0.50724165110153674</v>
      </c>
      <c r="C3">
        <v>0.05</v>
      </c>
      <c r="D3">
        <v>0.50724165110153674</v>
      </c>
      <c r="E3">
        <v>0.05</v>
      </c>
      <c r="G3">
        <f>G2+10</f>
        <v>60</v>
      </c>
      <c r="H3">
        <v>5.0412284928285089E-3</v>
      </c>
      <c r="J3">
        <f t="shared" si="0"/>
        <v>20</v>
      </c>
      <c r="K3">
        <f t="shared" si="0"/>
        <v>20</v>
      </c>
      <c r="L3">
        <f t="shared" si="1"/>
        <v>-6.0000000000000005E-2</v>
      </c>
      <c r="O3">
        <v>5.0096931000422083E-19</v>
      </c>
      <c r="P3">
        <v>80.326047332937179</v>
      </c>
      <c r="Q3">
        <v>5.1582488014257075</v>
      </c>
    </row>
    <row r="4" spans="1:19" x14ac:dyDescent="0.2">
      <c r="A4">
        <v>20</v>
      </c>
      <c r="B4">
        <v>0.22136724254852069</v>
      </c>
      <c r="C4">
        <v>0.09</v>
      </c>
      <c r="D4">
        <v>0.22136724254850826</v>
      </c>
      <c r="E4">
        <v>0.09</v>
      </c>
      <c r="G4">
        <f t="shared" ref="G4:G20" si="2">G3+10</f>
        <v>70</v>
      </c>
      <c r="H4">
        <v>7.0455024872408956E-3</v>
      </c>
      <c r="J4">
        <f t="shared" si="0"/>
        <v>30</v>
      </c>
      <c r="K4">
        <f t="shared" si="0"/>
        <v>30</v>
      </c>
      <c r="L4">
        <f t="shared" si="1"/>
        <v>-0.05</v>
      </c>
      <c r="O4">
        <v>4.1593638726411268E-11</v>
      </c>
      <c r="P4">
        <v>70.489070999417905</v>
      </c>
      <c r="Q4">
        <v>5.4709890728631141</v>
      </c>
    </row>
    <row r="5" spans="1:19" x14ac:dyDescent="0.2">
      <c r="A5">
        <v>50</v>
      </c>
      <c r="B5">
        <v>7.4474936143472448E-2</v>
      </c>
      <c r="C5">
        <v>0.25</v>
      </c>
      <c r="D5">
        <v>7.4474936061105446E-2</v>
      </c>
      <c r="E5">
        <v>0.27</v>
      </c>
      <c r="G5">
        <f t="shared" si="2"/>
        <v>80</v>
      </c>
      <c r="H5">
        <v>1.1569599847263135E-2</v>
      </c>
      <c r="J5">
        <f t="shared" si="0"/>
        <v>40</v>
      </c>
      <c r="K5">
        <f t="shared" si="0"/>
        <v>40</v>
      </c>
      <c r="L5">
        <f t="shared" si="1"/>
        <v>-0.04</v>
      </c>
      <c r="O5">
        <v>7.4949427090227607E-7</v>
      </c>
      <c r="P5">
        <v>60.652094948132508</v>
      </c>
      <c r="Q5">
        <v>5.7807203648062551</v>
      </c>
    </row>
    <row r="6" spans="1:19" x14ac:dyDescent="0.2">
      <c r="A6">
        <v>100</v>
      </c>
      <c r="B6">
        <v>3.5054929468735452E-2</v>
      </c>
      <c r="C6">
        <v>0.52</v>
      </c>
      <c r="D6">
        <v>3.5054928428415622E-2</v>
      </c>
      <c r="E6">
        <v>0.68</v>
      </c>
      <c r="G6">
        <f t="shared" si="2"/>
        <v>90</v>
      </c>
      <c r="H6">
        <v>1.5661286937746155E-2</v>
      </c>
      <c r="J6">
        <f t="shared" si="0"/>
        <v>50</v>
      </c>
      <c r="K6">
        <f t="shared" si="0"/>
        <v>50</v>
      </c>
      <c r="L6">
        <f t="shared" si="1"/>
        <v>-0.03</v>
      </c>
      <c r="O6">
        <v>2.8992343368266241E-4</v>
      </c>
      <c r="P6">
        <v>50.815252541266624</v>
      </c>
      <c r="Q6">
        <v>6.1330337454877428</v>
      </c>
    </row>
    <row r="7" spans="1:19" x14ac:dyDescent="0.2">
      <c r="A7">
        <v>150</v>
      </c>
      <c r="B7">
        <v>2.4685927126853358E-2</v>
      </c>
      <c r="C7">
        <v>0.88</v>
      </c>
      <c r="D7">
        <v>2.4685924676248305E-2</v>
      </c>
      <c r="E7">
        <v>1.26</v>
      </c>
      <c r="G7">
        <f t="shared" si="2"/>
        <v>100</v>
      </c>
      <c r="H7">
        <v>2.0541806918332739E-2</v>
      </c>
      <c r="J7">
        <f t="shared" si="0"/>
        <v>60</v>
      </c>
      <c r="K7">
        <f t="shared" si="0"/>
        <v>60</v>
      </c>
      <c r="L7">
        <f t="shared" si="1"/>
        <v>-0.02</v>
      </c>
      <c r="O7">
        <v>1.3655850756695027E-2</v>
      </c>
      <c r="P7">
        <v>40.985556200644972</v>
      </c>
      <c r="Q7">
        <v>6.4934829551620394</v>
      </c>
    </row>
    <row r="8" spans="1:19" x14ac:dyDescent="0.2">
      <c r="A8">
        <v>200</v>
      </c>
      <c r="B8">
        <v>2.05418106848132E-2</v>
      </c>
      <c r="C8">
        <v>1.1399999999999999</v>
      </c>
      <c r="D8">
        <v>2.0541806918332739E-2</v>
      </c>
      <c r="E8">
        <v>1.97</v>
      </c>
      <c r="G8">
        <f t="shared" si="2"/>
        <v>110</v>
      </c>
      <c r="H8">
        <v>1.5568424253056712E-2</v>
      </c>
      <c r="J8">
        <f t="shared" si="0"/>
        <v>70</v>
      </c>
      <c r="K8">
        <f t="shared" si="0"/>
        <v>70</v>
      </c>
      <c r="L8">
        <f t="shared" si="1"/>
        <v>-0.01</v>
      </c>
      <c r="O8">
        <v>0.17687796343462034</v>
      </c>
      <c r="P8">
        <v>31.250392735903898</v>
      </c>
      <c r="Q8">
        <v>6.850830334001845</v>
      </c>
    </row>
    <row r="9" spans="1:19" x14ac:dyDescent="0.2">
      <c r="A9">
        <v>250</v>
      </c>
      <c r="B9">
        <v>1.8580452993978369E-2</v>
      </c>
      <c r="C9">
        <v>1.43</v>
      </c>
      <c r="D9">
        <v>1.8580447850203186E-2</v>
      </c>
      <c r="E9">
        <v>2.85</v>
      </c>
      <c r="G9">
        <f t="shared" si="2"/>
        <v>120</v>
      </c>
      <c r="H9">
        <v>1.173260968459755E-2</v>
      </c>
      <c r="J9">
        <f t="shared" si="0"/>
        <v>80</v>
      </c>
      <c r="K9">
        <f t="shared" si="0"/>
        <v>80</v>
      </c>
      <c r="L9">
        <f t="shared" si="1"/>
        <v>0</v>
      </c>
      <c r="O9">
        <v>1.0205347608570619</v>
      </c>
      <c r="P9">
        <v>22.005212740404676</v>
      </c>
      <c r="Q9">
        <v>7.2051018760134857</v>
      </c>
    </row>
    <row r="10" spans="1:19" ht="16" thickBot="1" x14ac:dyDescent="0.25">
      <c r="A10">
        <v>300</v>
      </c>
      <c r="B10">
        <v>1.7581614110140364E-2</v>
      </c>
      <c r="C10">
        <v>1.84</v>
      </c>
      <c r="D10">
        <v>1.7581607683711198E-2</v>
      </c>
      <c r="E10">
        <v>3.91</v>
      </c>
      <c r="G10">
        <f t="shared" si="2"/>
        <v>130</v>
      </c>
      <c r="H10">
        <v>1.250586964021394E-2</v>
      </c>
      <c r="J10">
        <f>J11-10</f>
        <v>90</v>
      </c>
      <c r="K10">
        <f>K11-10</f>
        <v>90</v>
      </c>
      <c r="L10">
        <f>L11-0.01</f>
        <v>0.01</v>
      </c>
      <c r="M10">
        <f>M11-0.1</f>
        <v>0.1</v>
      </c>
      <c r="O10">
        <v>3.4171947500054611</v>
      </c>
      <c r="P10">
        <v>14.015204741900128</v>
      </c>
      <c r="Q10">
        <v>7.613081156442238</v>
      </c>
      <c r="R10">
        <v>4.4521668244142845</v>
      </c>
    </row>
    <row r="11" spans="1:19" ht="16" thickBot="1" x14ac:dyDescent="0.25">
      <c r="A11">
        <v>400</v>
      </c>
      <c r="B11">
        <v>1.4299561492384427E-2</v>
      </c>
      <c r="C11">
        <v>2.6</v>
      </c>
      <c r="D11">
        <v>1.4299552560812501E-2</v>
      </c>
      <c r="E11">
        <v>6.34</v>
      </c>
      <c r="G11">
        <f t="shared" si="2"/>
        <v>140</v>
      </c>
      <c r="H11">
        <v>4.4774597736854105E-3</v>
      </c>
      <c r="J11" s="10">
        <v>100</v>
      </c>
      <c r="K11" s="11">
        <v>100</v>
      </c>
      <c r="L11" s="11">
        <v>0.02</v>
      </c>
      <c r="M11" s="11">
        <v>0.2</v>
      </c>
      <c r="N11" s="13">
        <v>0</v>
      </c>
      <c r="O11">
        <v>8.017870322339455</v>
      </c>
      <c r="P11">
        <v>8.017870322339455</v>
      </c>
      <c r="Q11">
        <v>8.017870322339455</v>
      </c>
      <c r="R11">
        <v>8.017870322339455</v>
      </c>
      <c r="S11">
        <v>8.017870322339455</v>
      </c>
    </row>
    <row r="12" spans="1:19" x14ac:dyDescent="0.2">
      <c r="A12">
        <v>500</v>
      </c>
      <c r="B12">
        <v>9.3368646257605548E-3</v>
      </c>
      <c r="C12">
        <v>3.37</v>
      </c>
      <c r="D12">
        <v>9.3368532735862431E-3</v>
      </c>
      <c r="E12">
        <v>9.58</v>
      </c>
      <c r="G12">
        <f t="shared" si="2"/>
        <v>150</v>
      </c>
      <c r="H12">
        <v>1.9911754147910743E-3</v>
      </c>
      <c r="J12">
        <f>J11+10</f>
        <v>110</v>
      </c>
      <c r="K12">
        <f>K11+10</f>
        <v>110</v>
      </c>
      <c r="L12">
        <f>L11+0.01</f>
        <v>0.03</v>
      </c>
      <c r="M12">
        <f>M11+0.1</f>
        <v>0.30000000000000004</v>
      </c>
      <c r="N12">
        <v>1</v>
      </c>
      <c r="O12">
        <v>14.728780848120438</v>
      </c>
      <c r="P12">
        <v>4.1230989534204978</v>
      </c>
      <c r="Q12">
        <v>8.4194948854160145</v>
      </c>
      <c r="R12">
        <v>11.572447615962247</v>
      </c>
      <c r="S12">
        <v>7.4900753190491267</v>
      </c>
    </row>
    <row r="13" spans="1:19" x14ac:dyDescent="0.2">
      <c r="A13">
        <v>600</v>
      </c>
      <c r="B13">
        <v>6.6762702640073002E-3</v>
      </c>
      <c r="C13">
        <v>4.07</v>
      </c>
      <c r="D13">
        <v>6.6762567363465308E-3</v>
      </c>
      <c r="E13">
        <v>12.97</v>
      </c>
      <c r="G13">
        <f t="shared" si="2"/>
        <v>160</v>
      </c>
      <c r="H13">
        <v>1.0499158966315869E-3</v>
      </c>
      <c r="J13">
        <f t="shared" ref="J13:K20" si="3">J12+10</f>
        <v>120</v>
      </c>
      <c r="K13">
        <f t="shared" si="3"/>
        <v>120</v>
      </c>
      <c r="L13">
        <f t="shared" ref="L13:L20" si="4">L12+0.01</f>
        <v>0.04</v>
      </c>
      <c r="M13">
        <f t="shared" ref="M13:M20" si="5">M12+0.1</f>
        <v>0.4</v>
      </c>
      <c r="N13">
        <v>2</v>
      </c>
      <c r="O13">
        <v>22.989875357537304</v>
      </c>
      <c r="P13">
        <v>1.9203350355503126</v>
      </c>
      <c r="Q13">
        <v>8.8246100998202071</v>
      </c>
      <c r="R13">
        <v>15.105229510147369</v>
      </c>
      <c r="S13">
        <v>6.9922310495420845</v>
      </c>
    </row>
    <row r="14" spans="1:19" x14ac:dyDescent="0.2">
      <c r="A14">
        <v>700</v>
      </c>
      <c r="B14">
        <v>5.1961924286594297E-3</v>
      </c>
      <c r="C14">
        <v>4.9000000000000004</v>
      </c>
      <c r="D14">
        <v>5.1961767548966975E-3</v>
      </c>
      <c r="E14">
        <v>17.25</v>
      </c>
      <c r="G14">
        <f t="shared" si="2"/>
        <v>170</v>
      </c>
      <c r="H14">
        <v>6.0158348820715107E-4</v>
      </c>
      <c r="J14">
        <f t="shared" si="3"/>
        <v>130</v>
      </c>
      <c r="K14">
        <f t="shared" si="3"/>
        <v>130</v>
      </c>
      <c r="L14">
        <f t="shared" si="4"/>
        <v>0.05</v>
      </c>
      <c r="M14">
        <f t="shared" si="5"/>
        <v>0.5</v>
      </c>
      <c r="N14" s="12">
        <v>3</v>
      </c>
      <c r="O14">
        <v>32.180107966220937</v>
      </c>
      <c r="P14">
        <v>0.82605381666588251</v>
      </c>
      <c r="Q14">
        <v>9.2749616352008921</v>
      </c>
      <c r="R14">
        <v>18.609152588997368</v>
      </c>
      <c r="S14">
        <v>6.5386404784195795</v>
      </c>
    </row>
    <row r="15" spans="1:19" x14ac:dyDescent="0.2">
      <c r="A15">
        <v>800</v>
      </c>
      <c r="B15">
        <v>4.3770705297951906E-3</v>
      </c>
      <c r="C15">
        <v>5.86</v>
      </c>
      <c r="D15">
        <v>4.3770524939539257E-3</v>
      </c>
      <c r="E15">
        <v>22.21</v>
      </c>
      <c r="G15">
        <f t="shared" si="2"/>
        <v>180</v>
      </c>
      <c r="H15">
        <v>1.3877693422720966E-4</v>
      </c>
      <c r="J15">
        <f t="shared" si="3"/>
        <v>140</v>
      </c>
      <c r="K15">
        <f t="shared" si="3"/>
        <v>140</v>
      </c>
      <c r="L15">
        <f t="shared" si="4"/>
        <v>6.0000000000000005E-2</v>
      </c>
      <c r="M15">
        <f t="shared" si="5"/>
        <v>0.6</v>
      </c>
      <c r="N15">
        <v>4</v>
      </c>
      <c r="O15">
        <v>41.836601144864488</v>
      </c>
      <c r="P15">
        <v>0.32792278489798576</v>
      </c>
      <c r="Q15">
        <v>9.7220515040292828</v>
      </c>
      <c r="R15">
        <v>22.077348853540229</v>
      </c>
      <c r="S15">
        <v>6.0849874500314307</v>
      </c>
    </row>
    <row r="16" spans="1:19" x14ac:dyDescent="0.2">
      <c r="A16">
        <v>900</v>
      </c>
      <c r="B16">
        <v>3.9511718156468589E-3</v>
      </c>
      <c r="C16">
        <v>6.74</v>
      </c>
      <c r="D16">
        <v>3.9511514538776993E-3</v>
      </c>
      <c r="E16">
        <v>27.87</v>
      </c>
      <c r="G16">
        <f t="shared" si="2"/>
        <v>190</v>
      </c>
      <c r="H16">
        <v>8.6076357317304902E-5</v>
      </c>
      <c r="J16">
        <f t="shared" si="3"/>
        <v>150</v>
      </c>
      <c r="K16">
        <f t="shared" si="3"/>
        <v>150</v>
      </c>
      <c r="L16">
        <f t="shared" si="4"/>
        <v>7.0000000000000007E-2</v>
      </c>
      <c r="M16">
        <f t="shared" si="5"/>
        <v>0.7</v>
      </c>
      <c r="N16">
        <v>5</v>
      </c>
      <c r="O16">
        <v>51.704790815911267</v>
      </c>
      <c r="P16">
        <v>0.12530510338236803</v>
      </c>
      <c r="Q16">
        <v>10.165904594420201</v>
      </c>
      <c r="R16">
        <v>25.503171752612815</v>
      </c>
      <c r="S16">
        <v>5.648112871259694</v>
      </c>
    </row>
    <row r="17" spans="1:19" x14ac:dyDescent="0.2">
      <c r="A17">
        <v>1000</v>
      </c>
      <c r="B17">
        <v>3.7694858484105254E-3</v>
      </c>
      <c r="C17">
        <v>7.59</v>
      </c>
      <c r="D17">
        <v>3.7694632544216233E-3</v>
      </c>
      <c r="E17">
        <v>34</v>
      </c>
      <c r="G17">
        <f t="shared" si="2"/>
        <v>200</v>
      </c>
      <c r="H17">
        <v>2.7471104696813659E-5</v>
      </c>
      <c r="J17">
        <f t="shared" si="3"/>
        <v>160</v>
      </c>
      <c r="K17">
        <f t="shared" si="3"/>
        <v>160</v>
      </c>
      <c r="L17">
        <f t="shared" si="4"/>
        <v>0.08</v>
      </c>
      <c r="M17">
        <f t="shared" si="5"/>
        <v>0.79999999999999993</v>
      </c>
      <c r="N17" s="12">
        <v>6</v>
      </c>
      <c r="O17">
        <v>61.655823053809463</v>
      </c>
      <c r="P17">
        <v>4.5405385516688913E-2</v>
      </c>
      <c r="Q17">
        <v>10.614850823287529</v>
      </c>
      <c r="R17">
        <v>28.880230722389076</v>
      </c>
      <c r="S17">
        <v>5.2608000822890553</v>
      </c>
    </row>
    <row r="18" spans="1:19" x14ac:dyDescent="0.2">
      <c r="A18">
        <v>1200</v>
      </c>
      <c r="B18">
        <v>3.8208435248954231E-3</v>
      </c>
      <c r="C18">
        <v>9.49</v>
      </c>
      <c r="D18">
        <v>3.8208164361872576E-3</v>
      </c>
      <c r="E18">
        <v>47.92</v>
      </c>
      <c r="G18">
        <f t="shared" si="2"/>
        <v>210</v>
      </c>
      <c r="H18">
        <v>7.8830219675502075E-6</v>
      </c>
      <c r="J18">
        <f t="shared" si="3"/>
        <v>170</v>
      </c>
      <c r="K18">
        <f t="shared" si="3"/>
        <v>170</v>
      </c>
      <c r="L18">
        <f t="shared" si="4"/>
        <v>0.09</v>
      </c>
      <c r="M18">
        <f t="shared" si="5"/>
        <v>0.89999999999999991</v>
      </c>
      <c r="N18">
        <v>7</v>
      </c>
      <c r="O18">
        <v>71.638643398010913</v>
      </c>
      <c r="P18">
        <v>1.5715674819724055E-2</v>
      </c>
      <c r="Q18">
        <v>11.103856300298807</v>
      </c>
      <c r="R18">
        <v>32.202425554311297</v>
      </c>
      <c r="S18">
        <v>4.8725219988827835</v>
      </c>
    </row>
    <row r="19" spans="1:19" x14ac:dyDescent="0.2">
      <c r="A19">
        <v>1500</v>
      </c>
      <c r="B19">
        <v>3.8953900226914584E-3</v>
      </c>
      <c r="C19">
        <v>12.62</v>
      </c>
      <c r="G19">
        <f t="shared" si="2"/>
        <v>220</v>
      </c>
      <c r="H19">
        <v>2.6511404345165807E-6</v>
      </c>
      <c r="J19">
        <f t="shared" si="3"/>
        <v>180</v>
      </c>
      <c r="K19">
        <f t="shared" si="3"/>
        <v>180</v>
      </c>
      <c r="L19">
        <f t="shared" si="4"/>
        <v>9.9999999999999992E-2</v>
      </c>
      <c r="M19">
        <f t="shared" si="5"/>
        <v>0.99999999999999989</v>
      </c>
      <c r="N19">
        <v>8</v>
      </c>
      <c r="O19">
        <v>81.632868239551058</v>
      </c>
      <c r="P19">
        <v>5.1741221121755967E-3</v>
      </c>
      <c r="Q19">
        <v>11.589508420420605</v>
      </c>
      <c r="R19">
        <v>35.463978599884129</v>
      </c>
      <c r="S19">
        <v>4.4990848510581554</v>
      </c>
    </row>
    <row r="20" spans="1:19" x14ac:dyDescent="0.2">
      <c r="A20">
        <v>2000</v>
      </c>
      <c r="B20">
        <v>1.8728372962240059E-3</v>
      </c>
      <c r="C20">
        <v>18.18</v>
      </c>
      <c r="G20">
        <f t="shared" si="2"/>
        <v>230</v>
      </c>
      <c r="H20">
        <v>9.4541371324623286E-7</v>
      </c>
      <c r="J20">
        <f t="shared" si="3"/>
        <v>190</v>
      </c>
      <c r="K20">
        <f t="shared" si="3"/>
        <v>190</v>
      </c>
      <c r="L20">
        <f t="shared" si="4"/>
        <v>0.10999999999999999</v>
      </c>
      <c r="M20">
        <f t="shared" si="5"/>
        <v>1.0999999999999999</v>
      </c>
      <c r="N20" s="12">
        <v>9</v>
      </c>
      <c r="O20">
        <v>91.631098191241492</v>
      </c>
      <c r="P20">
        <v>1.7877665814318147E-3</v>
      </c>
      <c r="Q20">
        <v>12.071831538470288</v>
      </c>
      <c r="R20">
        <v>38.659464070587276</v>
      </c>
      <c r="S20">
        <v>4.1724506490142081</v>
      </c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Pricer</vt:lpstr>
      <vt:lpstr>List Params</vt:lpstr>
      <vt:lpstr>tester</vt:lpstr>
      <vt:lpstr>Analysis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Utilisateur de Microsoft Office</cp:lastModifiedBy>
  <dcterms:created xsi:type="dcterms:W3CDTF">2022-09-28T12:57:30Z</dcterms:created>
  <dcterms:modified xsi:type="dcterms:W3CDTF">2022-12-19T16:21:36Z</dcterms:modified>
</cp:coreProperties>
</file>